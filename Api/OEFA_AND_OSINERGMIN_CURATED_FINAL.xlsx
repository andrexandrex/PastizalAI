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ndreJuarez\Code_OilSpill\Apis\last_dance\"/>
    </mc:Choice>
  </mc:AlternateContent>
  <xr:revisionPtr revIDLastSave="0" documentId="13_ncr:1_{D5DD1278-90B6-41C6-B38C-78D59823F1D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</calcChain>
</file>

<file path=xl/sharedStrings.xml><?xml version="1.0" encoding="utf-8"?>
<sst xmlns="http://schemas.openxmlformats.org/spreadsheetml/2006/main" count="898" uniqueCount="416">
  <si>
    <t>ADMINISTRADO</t>
  </si>
  <si>
    <t>UNIDAD</t>
  </si>
  <si>
    <t>FECHA DE EMERGENCIA AMBIENTAL</t>
  </si>
  <si>
    <t>REGION</t>
  </si>
  <si>
    <t>ZONA</t>
  </si>
  <si>
    <t>ESTE</t>
  </si>
  <si>
    <t>NORTE</t>
  </si>
  <si>
    <t>TIPO</t>
  </si>
  <si>
    <t>CANTIDAD</t>
  </si>
  <si>
    <t>UNIDAD2</t>
  </si>
  <si>
    <t>AREA</t>
  </si>
  <si>
    <t>TIPO3</t>
  </si>
  <si>
    <t>DATOS</t>
  </si>
  <si>
    <t>LAT</t>
  </si>
  <si>
    <t>LON</t>
  </si>
  <si>
    <t>datetime</t>
  </si>
  <si>
    <t>coordinates</t>
  </si>
  <si>
    <t>Original index</t>
  </si>
  <si>
    <t>geometry</t>
  </si>
  <si>
    <t>bbox</t>
  </si>
  <si>
    <t>bbox_converted</t>
  </si>
  <si>
    <t>PETRÓLEOS DEL PERÚ - PETROPERU S.A.</t>
  </si>
  <si>
    <t>REFINERÍA TALARA</t>
  </si>
  <si>
    <t>PIURA</t>
  </si>
  <si>
    <t>SLOP (AGUA CON HIDROARBUROS)</t>
  </si>
  <si>
    <t>BARRILES</t>
  </si>
  <si>
    <t>AGUA</t>
  </si>
  <si>
    <t>OEFA</t>
  </si>
  <si>
    <t>2012-02-16T00:00:00Z/2012-02-29T23:59:59Z</t>
  </si>
  <si>
    <t>(-4.575742681270687, -81.28259214604834)</t>
  </si>
  <si>
    <t>POINT (-81.28259214604834 -4.575742681270687)</t>
  </si>
  <si>
    <t>[-81.50259214604826, -4.695742681270687, -81.26259214604825, -4.455742681270687]</t>
  </si>
  <si>
    <t>[[[-81.26259214604825, -4.695742681270687], [-81.26259214604825, -4.455742681270687], [-81.50259214604826, -4.455742681270687], [-81.50259214604826, -4.695742681270687], [-81.26259214604825, -4.695742681270687]]]</t>
  </si>
  <si>
    <t>IFO 380</t>
  </si>
  <si>
    <t>GAL</t>
  </si>
  <si>
    <t>AGUA DE MAR</t>
  </si>
  <si>
    <t>2015-03-14T00:00:00Z/2015-03-27T23:59:59Z</t>
  </si>
  <si>
    <t>(-4.573598887022488, -81.28194221451692)</t>
  </si>
  <si>
    <t>POINT (-81.28194221451692 -4.573598887022488)</t>
  </si>
  <si>
    <t>[-81.50194221451683, -4.693598887022488, -81.26194221451682, -4.453598887022488]</t>
  </si>
  <si>
    <t>[[[-81.26194221451682, -4.693598887022488], [-81.26194221451682, -4.453598887022488], [-81.50194221451683, -4.453598887022488], [-81.50194221451683, -4.693598887022488], [-81.26194221451682, -4.693598887022488]]]</t>
  </si>
  <si>
    <t>CONSORCIO TERMINALES</t>
  </si>
  <si>
    <t>TERMINAL ILO</t>
  </si>
  <si>
    <t>MOQUEGUA</t>
  </si>
  <si>
    <t>DIÉSEL B5</t>
  </si>
  <si>
    <t>BLS</t>
  </si>
  <si>
    <t>SUELO, AGUA</t>
  </si>
  <si>
    <t>2016-01-05T00:00:00Z/2016-01-18T23:59:59Z</t>
  </si>
  <si>
    <t>(-17.63463327894718, -71.33917659476346)</t>
  </si>
  <si>
    <t>POINT (-71.33917659476346 -17.63463327894718)</t>
  </si>
  <si>
    <t>[-71.55417659476338, -17.754633278947182, -71.31417659476337, -17.51463327894718]</t>
  </si>
  <si>
    <t>[[[-71.31417659476337, -17.754633278947182], [-71.31417659476337, -17.51463327894718], [-71.55417659476338, -17.51463327894718], [-71.55417659476338, -17.754633278947182], [-71.31417659476337, -17.754633278947182]]]</t>
  </si>
  <si>
    <t>PLANTA DE VENTAS TALARA</t>
  </si>
  <si>
    <t>GLP</t>
  </si>
  <si>
    <t>N.E.</t>
  </si>
  <si>
    <t>2016-05-19T00:00:00Z/2016-06-01T23:59:59Z</t>
  </si>
  <si>
    <t>(-4.596335979083023, -81.27445027923514)</t>
  </si>
  <si>
    <t>POINT (-81.27445027923514 -4.596335979083023)</t>
  </si>
  <si>
    <t>[-81.50445027923504, -4.7163359790830235, -81.26445027923504, -4.476335979083023]</t>
  </si>
  <si>
    <t>[[[-81.26445027923504, -4.7163359790830235], [-81.26445027923504, -4.476335979083023], [-81.50445027923504, -4.476335979083023], [-81.50445027923504, -4.7163359790830235], [-81.26445027923504, -4.7163359790830235]]]</t>
  </si>
  <si>
    <t>PLAYA EL DIABLO</t>
  </si>
  <si>
    <t>2016-08-08T00:00:00Z/2016-08-21T23:59:59Z</t>
  </si>
  <si>
    <t>(-17.63459603566273, -71.33927031931913)</t>
  </si>
  <si>
    <t>POINT (-71.33927031931913 -17.63459603566273)</t>
  </si>
  <si>
    <t>[-71.55427031931904, -17.754596035662733, -71.31427031931904, -17.51459603566273]</t>
  </si>
  <si>
    <t>[[[-71.31427031931904, -17.754596035662733], [-71.31427031931904, -17.51459603566273], [-71.55427031931904, -17.51459603566273], [-71.55427031931904, -17.754596035662733], [-71.31427031931904, -17.754596035662733]]]</t>
  </si>
  <si>
    <t>TERMINALES DEL PERU</t>
  </si>
  <si>
    <t>TERMINAL CALLAO</t>
  </si>
  <si>
    <t>CALLAO</t>
  </si>
  <si>
    <t>2018-06-05T00:00:00Z/2018-06-18T23:59:59Z</t>
  </si>
  <si>
    <t>(-12.04716916462295, -77.14483283976207)</t>
  </si>
  <si>
    <t>POINT (-77.14483283976207 -12.04716916462295)</t>
  </si>
  <si>
    <t>[-77.32483283976202, -12.16716916462295, -77.08483283976202, -11.927169164622951]</t>
  </si>
  <si>
    <t>[[[-77.08483283976202, -12.16716916462295], [-77.08483283976202, -11.927169164622951], [-77.32483283976202, -11.927169164622951], [-77.32483283976202, -12.16716916462295], [-77.08483283976202, -12.16716916462295]]]</t>
  </si>
  <si>
    <t>RESIDUO OLEOSO</t>
  </si>
  <si>
    <t>AGUA MARINA</t>
  </si>
  <si>
    <t>2018-10-11T00:00:00Z/2018-10-24T23:59:59Z</t>
  </si>
  <si>
    <t>(-12.04723474815147, -77.14570563847678)</t>
  </si>
  <si>
    <t>POINT (-77.14570563847678 -12.04723474815147)</t>
  </si>
  <si>
    <t>[-77.32570563847673, -12.167234748151468, -77.08570563847672, -11.92723474815147]</t>
  </si>
  <si>
    <t>[[[-77.08570563847672, -12.167234748151468], [-77.08570563847672, -11.92723474815147], [-77.32570563847673, -11.92723474815147], [-77.32570563847673, -12.167234748151468], [-77.08570563847672, -12.167234748151468]]]</t>
  </si>
  <si>
    <t>ASFALTO RC-250</t>
  </si>
  <si>
    <t>GALONES</t>
  </si>
  <si>
    <t>2019-05-26T00:00:00Z/2019-06-08T23:59:59Z</t>
  </si>
  <si>
    <t>(-4.57375255179047, -81.2822668202434)</t>
  </si>
  <si>
    <t>POINT (-81.2822668202434 -4.57375255179047)</t>
  </si>
  <si>
    <t>[-81.5022668202433, -4.69375255179047, -81.2622668202433, -4.45375255179047]</t>
  </si>
  <si>
    <t>[[[-81.2622668202433, -4.69375255179047], [-81.2622668202433, -4.45375255179047], [-81.5022668202433, -4.45375255179047], [-81.5022668202433, -4.69375255179047], [-81.2622668202433, -4.69375255179047]]]</t>
  </si>
  <si>
    <t>CRUDO</t>
  </si>
  <si>
    <t>2020-09-18T00:00:00Z/2020-10-01T23:59:59Z</t>
  </si>
  <si>
    <t>(-4.583464174283006, -81.29332335192053)</t>
  </si>
  <si>
    <t>POINT (-81.29332335192053 -4.583464174283006)</t>
  </si>
  <si>
    <t>[-81.50332335192046, -4.703464174283006, -81.26332335192045, -4.463464174283006]</t>
  </si>
  <si>
    <t>[[[-81.26332335192045, -4.703464174283006], [-81.26332335192045, -4.463464174283006], [-81.50332335192046, -4.463464174283006], [-81.50332335192046, -4.703464174283006], [-81.26332335192045, -4.703464174283006]]]</t>
  </si>
  <si>
    <t>REFINERÍA LA PAMPILLA S.A.A.</t>
  </si>
  <si>
    <t>REFINERÍA LA PAMPILLA</t>
  </si>
  <si>
    <t>PETROLEO</t>
  </si>
  <si>
    <t>AGUA, SEDIMENTO HIDROBIOLOGÌA, FAUNA, ORILLA ROCOSA</t>
  </si>
  <si>
    <t>2022-01-24T00:00:00Z/2022-02-06T23:59:59Z</t>
  </si>
  <si>
    <t>(-11.92561329271703, -77.15201335781732)</t>
  </si>
  <si>
    <t>POINT (-77.15201335781732 -11.92561329271703)</t>
  </si>
  <si>
    <t>[-77.35701335781725, -12.045613292717029, -77.11701335781724, -11.80561329271703]</t>
  </si>
  <si>
    <t>[[[-77.11701335781724, -12.045613292717029], [-77.11701335781724, -11.80561329271703], [-77.35701335781725, -11.80561329271703], [-77.35701335781725, -12.045613292717029], [-77.11701335781724, -12.045613292717029]]]</t>
  </si>
  <si>
    <t>2022-01-15T00:00:00Z/2022-01-28T23:59:59Z</t>
  </si>
  <si>
    <t>BPZ EXPLORACION &amp; PRODUCCION S.R.L</t>
  </si>
  <si>
    <t>LOTE Z-1</t>
  </si>
  <si>
    <t>TUMBES</t>
  </si>
  <si>
    <t>PETRÓLEO CRUDO</t>
  </si>
  <si>
    <t>2014-01-08T00:00:00Z/2014-01-21T23:59:59Z</t>
  </si>
  <si>
    <t>(-3.586906023529715, -80.74590036937629)</t>
  </si>
  <si>
    <t>POINT (-80.74590036937629 -3.586906023529715)</t>
  </si>
  <si>
    <t>[-80.86590036937629, -3.706906023529715, -80.62590036937628, -3.466906023529715]</t>
  </si>
  <si>
    <t>[[[-80.62590036937628, -3.706906023529715], [-80.62590036937628, -3.466906023529715], [-80.86590036937629, -3.466906023529715], [-80.86590036937629, -3.706906023529715], [-80.62590036937628, -3.706906023529715]]]</t>
  </si>
  <si>
    <t>2014-06-01T00:00:00Z/2014-06-14T23:59:59Z</t>
  </si>
  <si>
    <t>(-3.608154618794542, -80.73715122556162)</t>
  </si>
  <si>
    <t>POINT (-80.73715122556162 -3.608154618794542)</t>
  </si>
  <si>
    <t>[-80.85715122556162, -3.7281546187945422, -80.61715122556161, -3.488154618794542]</t>
  </si>
  <si>
    <t>[[[-80.61715122556161, -3.7281546187945422], [-80.61715122556161, -3.488154618794542], [-80.85715122556162, -3.488154618794542], [-80.85715122556162, -3.7281546187945422], [-80.61715122556161, -3.7281546187945422]]]</t>
  </si>
  <si>
    <t>2014-09-22T00:00:00Z/2014-10-05T23:59:59Z</t>
  </si>
  <si>
    <t>(-3.586012042492213, -80.75192440834418)</t>
  </si>
  <si>
    <t>POINT (-80.75192440834418 -3.586012042492213)</t>
  </si>
  <si>
    <t>[-80.87192440834419, -3.706012042492213, -80.63192440834418, -3.466012042492213]</t>
  </si>
  <si>
    <t>[[[-80.63192440834418, -3.706012042492213], [-80.63192440834418, -3.466012042492213], [-80.87192440834419, -3.466012042492213], [-80.87192440834419, -3.706012042492213], [-80.63192440834418, -3.706012042492213]]]</t>
  </si>
  <si>
    <t>SAVIA PERU S.A.</t>
  </si>
  <si>
    <t>LOTE Z-2B</t>
  </si>
  <si>
    <t>2013-05-01T00:00:00Z/2013-05-14T23:59:59Z</t>
  </si>
  <si>
    <t>(-4.243583158340293, -81.23492360892546)</t>
  </si>
  <si>
    <t>POINT (-81.23492360892546 -4.243583158340293)</t>
  </si>
  <si>
    <t>[-81.4249236089254, -4.363583158340293, -81.18492360892539, -4.123583158340293]</t>
  </si>
  <si>
    <t>[[[-81.18492360892539, -4.363583158340293], [-81.18492360892539, -4.123583158340293], [-81.4249236089254, -4.123583158340293], [-81.4249236089254, -4.363583158340293], [-81.18492360892539, -4.363583158340293]]]</t>
  </si>
  <si>
    <t>2014-04-02T00:00:00Z/2014-04-15T23:59:59Z</t>
  </si>
  <si>
    <t>(-4.460157025253911, -81.33897335535384)</t>
  </si>
  <si>
    <t>POINT (-81.33897335535384 -4.460157025253911)</t>
  </si>
  <si>
    <t>[-81.47897335535383, -4.580157025253911, -81.23897335535382, -4.340157025253911]</t>
  </si>
  <si>
    <t>[[[-81.23897335535382, -4.580157025253911], [-81.23897335535382, -4.340157025253911], [-81.47897335535383, -4.340157025253911], [-81.47897335535383, -4.580157025253911], [-81.23897335535382, -4.580157025253911]]]</t>
  </si>
  <si>
    <t>2014-09-08T00:00:00Z/2014-09-21T23:59:59Z</t>
  </si>
  <si>
    <t>(-4.611053401247224, -81.32103958723442)</t>
  </si>
  <si>
    <t>POINT (-81.32103958723442 -4.611053401247224)</t>
  </si>
  <si>
    <t>[-81.50103958723437, -4.731053401247224, -81.26103958723436, -4.491053401247224]</t>
  </si>
  <si>
    <t>[[[-81.26103958723436, -4.731053401247224], [-81.26103958723436, -4.491053401247224], [-81.50103958723437, -4.491053401247224], [-81.50103958723437, -4.731053401247224], [-81.26103958723436, -4.731053401247224]]]</t>
  </si>
  <si>
    <t>AGUA DE PRODUCCIÓN</t>
  </si>
  <si>
    <t>PLAYA</t>
  </si>
  <si>
    <t>2017-03-27T00:00:00Z/2017-04-09T23:59:59Z</t>
  </si>
  <si>
    <t>(-4.456241830996332, -81.29222662322451)</t>
  </si>
  <si>
    <t>POINT (-81.29222662322451 -4.456241830996332)</t>
  </si>
  <si>
    <t>[-81.48222662322445, -4.576241830996332, -81.24222662322444, -4.3362418309963315]</t>
  </si>
  <si>
    <t>[[[-81.24222662322444, -4.576241830996332], [-81.24222662322444, -4.3362418309963315], [-81.48222662322445, -4.3362418309963315], [-81.48222662322445, -4.576241830996332], [-81.24222662322444, -4.576241830996332]]]</t>
  </si>
  <si>
    <t>2017-07-11T00:00:00Z/2017-07-24T23:59:59Z</t>
  </si>
  <si>
    <t>(-4.319427704081682, -81.27171605080028)</t>
  </si>
  <si>
    <t>POINT (-81.27171605080028 -4.319427704081682)</t>
  </si>
  <si>
    <t>[-81.45171605080023, -4.439427704081682, -81.21171605080022, -4.199427704081682]</t>
  </si>
  <si>
    <t>[[[-81.21171605080022, -4.439427704081682], [-81.21171605080022, -4.199427704081682], [-81.45171605080023, -4.199427704081682], [-81.45171605080023, -4.439427704081682], [-81.21171605080022, -4.439427704081682]]]</t>
  </si>
  <si>
    <t>HIDROCARBUROS</t>
  </si>
  <si>
    <t>2018-11-27T00:00:00Z/2018-12-10T23:59:59Z</t>
  </si>
  <si>
    <t>(-4.455886645834849, -81.31963709245177)</t>
  </si>
  <si>
    <t>POINT (-81.31963709245177 -4.455886645834849)</t>
  </si>
  <si>
    <t>[-81.47963709245174, -4.575886645834849, -81.23963709245173, -4.335886645834849]</t>
  </si>
  <si>
    <t>[[[-81.23963709245173, -4.575886645834849], [-81.23963709245173, -4.335886645834849], [-81.47963709245174, -4.335886645834849], [-81.47963709245174, -4.575886645834849], [-81.23963709245173, -4.575886645834849]]]</t>
  </si>
  <si>
    <t xml:space="preserve">AIRE Y AGUA DE MAR  </t>
  </si>
  <si>
    <t>NO APLICA (AMAGO DE INCENDIO)</t>
  </si>
  <si>
    <t>2019-01-23T00:00:00Z/2019-02-05T23:59:59Z</t>
  </si>
  <si>
    <t>(-4.316728037255953, -81.31746499062645)</t>
  </si>
  <si>
    <t>POINT (-81.31746499062645 -4.316728037255953)</t>
  </si>
  <si>
    <t>[-81.45246499062644, -4.436728037255953, -81.21246499062643, -4.196728037255953]</t>
  </si>
  <si>
    <t>[[[-81.21246499062643, -4.436728037255953], [-81.21246499062643, -4.196728037255953], [-81.45246499062644, -4.196728037255953], [-81.45246499062644, -4.436728037255953], [-81.21246499062643, -4.436728037255953]]]</t>
  </si>
  <si>
    <t>2019-04-07T00:00:00Z/2019-04-20T23:59:59Z</t>
  </si>
  <si>
    <t>(-4.621307086670052, -81.31229894103458)</t>
  </si>
  <si>
    <t>POINT (-81.31229894103458 -4.621307086670052)</t>
  </si>
  <si>
    <t>[-81.50229894103452, -4.741307086670052, -81.26229894103452, -4.501307086670052]</t>
  </si>
  <si>
    <t>[[[-81.26229894103452, -4.741307086670052], [-81.26229894103452, -4.501307086670052], [-81.50229894103452, -4.501307086670052], [-81.50229894103452, -4.741307086670052], [-81.26229894103452, -4.741307086670052]]]</t>
  </si>
  <si>
    <t>2019-04-18T00:00:00Z/2019-05-01T23:59:59Z</t>
  </si>
  <si>
    <t>(-4.280956031402164, -81.26036579818911)</t>
  </si>
  <si>
    <t>POINT (-81.26036579818911 -4.280956031402164)</t>
  </si>
  <si>
    <t>[-81.44036579818906, -4.400956031402164, -81.20036579818905, -4.160956031402164]</t>
  </si>
  <si>
    <t>[[[-81.20036579818905, -4.400956031402164], [-81.20036579818905, -4.160956031402164], [-81.44036579818906, -4.160956031402164], [-81.44036579818906, -4.400956031402164], [-81.20036579818905, -4.400956031402164]]]</t>
  </si>
  <si>
    <t>2019-05-22T00:00:00Z/2019-06-04T23:59:59Z</t>
  </si>
  <si>
    <t>(-4.311686734102369, -81.28810608377164)</t>
  </si>
  <si>
    <t>POINT (-81.28810608377164 -4.311686734102369)</t>
  </si>
  <si>
    <t>[-81.4481060837716, -4.431686734102369, -81.2081060837716, -4.191686734102369]</t>
  </si>
  <si>
    <t>[[[-81.2081060837716, -4.431686734102369], [-81.2081060837716, -4.191686734102369], [-81.4481060837716, -4.191686734102369], [-81.4481060837716, -4.431686734102369], [-81.2081060837716, -4.431686734102369]]]</t>
  </si>
  <si>
    <t>2019-09-04T00:00:00Z/2019-09-17T23:59:59Z</t>
  </si>
  <si>
    <t>(-4.469208945175496, -81.36555020235353)</t>
  </si>
  <si>
    <t>POINT (-81.36555020235353 -4.469208945175496)</t>
  </si>
  <si>
    <t>[-81.48555020235354, -4.589208945175496, -81.24555020235353, -4.349208945175496]</t>
  </si>
  <si>
    <t>[[[-81.24555020235353, -4.589208945175496], [-81.24555020235353, -4.349208945175496], [-81.48555020235354, -4.349208945175496], [-81.48555020235354, -4.589208945175496], [-81.24555020235353, -4.589208945175496]]]</t>
  </si>
  <si>
    <t>2019-10-14T00:00:00Z/2019-10-27T23:59:59Z</t>
  </si>
  <si>
    <t>(-4.309618913557352, -81.2777145273095)</t>
  </si>
  <si>
    <t>POINT (-81.2777145273095 -4.309618913557352)</t>
  </si>
  <si>
    <t>[-81.44771452730946, -4.429618913557352, -81.20771452730945, -4.189618913557352]</t>
  </si>
  <si>
    <t>[[[-81.20771452730945, -4.429618913557352], [-81.20771452730945, -4.189618913557352], [-81.44771452730946, -4.189618913557352], [-81.44771452730946, -4.429618913557352], [-81.20771452730945, -4.429618913557352]]]</t>
  </si>
  <si>
    <t>0,16</t>
  </si>
  <si>
    <t>PETRÓLEO PULVERIZADO Y GAS</t>
  </si>
  <si>
    <t>9,2</t>
  </si>
  <si>
    <t>22950
80</t>
  </si>
  <si>
    <t>AGUA DE MAR
PLAYA</t>
  </si>
  <si>
    <t>2020-03-18T00:00:00Z/2020-03-31T23:59:59Z</t>
  </si>
  <si>
    <t>4,5</t>
  </si>
  <si>
    <t>2020-08-17T00:00:00Z/2020-08-30T23:59:59Z</t>
  </si>
  <si>
    <t>(-4.609991425532678, -81.3085795721881)</t>
  </si>
  <si>
    <t>POINT (-81.3085795721881 -4.609991425532678)</t>
  </si>
  <si>
    <t>[-81.50357957218803, -4.7299914255326785, -81.26357957218802, -4.489991425532678]</t>
  </si>
  <si>
    <t>[[[-81.26357957218802, -4.7299914255326785], [-81.26357957218802, -4.489991425532678], [-81.50357957218803, -4.489991425532678], [-81.50357957218803, -4.7299914255326785], [-81.26357957218802, -4.7299914255326785]]]</t>
  </si>
  <si>
    <t>2021-01-09T00:00:00Z/2021-01-22T23:59:59Z</t>
  </si>
  <si>
    <t>(-4.71198488248656, -81.32347487050062)</t>
  </si>
  <si>
    <t>POINT (-81.32347487050062 -4.71198488248656)</t>
  </si>
  <si>
    <t>[-81.49347487050058, -4.83198488248656, -81.25347487050057, -4.5919848824865594]</t>
  </si>
  <si>
    <t>[[[-81.25347487050057, -4.83198488248656], [-81.25347487050057, -4.5919848824865594], [-81.49347487050058, -4.5919848824865594], [-81.49347487050058, -4.83198488248656], [-81.25347487050057, -4.83198488248656]]]</t>
  </si>
  <si>
    <t>2021-02-05T00:00:00Z/2021-02-18T23:59:59Z</t>
  </si>
  <si>
    <t>(-4.286516687810027, -81.26922617150764)</t>
  </si>
  <si>
    <t>POINT (-81.26922617150764 -4.286516687810027)</t>
  </si>
  <si>
    <t>[-81.4392261715076, -4.4065166878100275, -81.19922617150759, -4.166516687810027]</t>
  </si>
  <si>
    <t>[[[-81.19922617150759, -4.4065166878100275], [-81.19922617150759, -4.166516687810027], [-81.4392261715076, -4.166516687810027], [-81.4392261715076, -4.4065166878100275], [-81.19922617150759, -4.4065166878100275]]]</t>
  </si>
  <si>
    <t>0,0131</t>
  </si>
  <si>
    <t>2021-02-23T00:00:00Z/2021-03-08T23:59:59Z</t>
  </si>
  <si>
    <t>(-4.714539927168003, -81.33431437224166)</t>
  </si>
  <si>
    <t>POINT (-81.33431437224166 -4.714539927168003)</t>
  </si>
  <si>
    <t>[-81.48931437224164, -4.834539927168003, -81.24931437224163, -4.594539927168003]</t>
  </si>
  <si>
    <t>[[[-81.24931437224163, -4.834539927168003], [-81.24931437224163, -4.594539927168003], [-81.48931437224164, -4.594539927168003], [-81.48931437224164, -4.834539927168003], [-81.24931437224163, -4.834539927168003]]]</t>
  </si>
  <si>
    <t>0,079</t>
  </si>
  <si>
    <t>2021-04-28T00:00:00Z/2021-05-11T23:59:59Z</t>
  </si>
  <si>
    <t>(-4.289600440203553, -81.2725345533224)</t>
  </si>
  <si>
    <t>POINT (-81.2725345533224 -4.289600440203553)</t>
  </si>
  <si>
    <t>[-81.44253455332236, -4.409600440203553, -81.20253455332235, -4.169600440203553]</t>
  </si>
  <si>
    <t>[[[-81.20253455332235, -4.409600440203553], [-81.20253455332235, -4.169600440203553], [-81.44253455332236, -4.169600440203553], [-81.44253455332236, -4.409600440203553], [-81.20253455332235, -4.409600440203553]]]</t>
  </si>
  <si>
    <t>2021-05-17T00:00:00Z/2021-05-30T23:59:59Z</t>
  </si>
  <si>
    <t>(-4.714406357908318, -81.32985995938202)</t>
  </si>
  <si>
    <t>POINT (-81.32985995938202 -4.714406357908318)</t>
  </si>
  <si>
    <t>[-81.48985995938199, -4.8344063579083185, -81.24985995938198, -4.594406357908318]</t>
  </si>
  <si>
    <t>[[[-81.24985995938198, -4.8344063579083185], [-81.24985995938198, -4.594406357908318], [-81.48985995938199, -4.594406357908318], [-81.48985995938199, -4.8344063579083185], [-81.24985995938198, -4.8344063579083185]]]</t>
  </si>
  <si>
    <t>10,5</t>
  </si>
  <si>
    <t>2021-11-02T00:00:00Z/2021-11-15T23:59:59Z</t>
  </si>
  <si>
    <t>(-4.29361402051021, -81.30476201924363)</t>
  </si>
  <si>
    <t>POINT (-81.30476201924363 -4.29361402051021)</t>
  </si>
  <si>
    <t>[-81.44476201924361, -4.41361402051021, -81.2047620192436, -4.17361402051021]</t>
  </si>
  <si>
    <t>[[[-81.2047620192436, -4.41361402051021], [-81.2047620192436, -4.17361402051021], [-81.44476201924361, -4.17361402051021], [-81.44476201924361, -4.41361402051021], [-81.2047620192436, -4.41361402051021]]]</t>
  </si>
  <si>
    <t>2021-11-04T00:00:00Z/2021-11-17T23:59:59Z</t>
  </si>
  <si>
    <t>(-4.441377488462521, -81.29397839984391)</t>
  </si>
  <si>
    <t>POINT (-81.29397839984391 -4.441377488462521)</t>
  </si>
  <si>
    <t>[-81.47897839984385, -4.561377488462521, -81.23897839984384, -4.321377488462521]</t>
  </si>
  <si>
    <t>[[[-81.23897839984384, -4.561377488462521], [-81.23897839984384, -4.321377488462521], [-81.47897839984385, -4.321377488462521], [-81.47897839984385, -4.561377488462521], [-81.23897839984384, -4.561377488462521]]]</t>
  </si>
  <si>
    <t>2021-11-05T00:00:00Z/2021-11-18T23:59:59Z</t>
  </si>
  <si>
    <t>(-4.122535626762965, -81.31839938048279)</t>
  </si>
  <si>
    <t>POINT (-81.31839938048279 -4.122535626762965)</t>
  </si>
  <si>
    <t>[-81.43839938048279, -4.242535626762965, -81.19839938048278, -4.002535626762965]</t>
  </si>
  <si>
    <t>[[[-81.19839938048278, -4.242535626762965], [-81.19839938048278, -4.002535626762965], [-81.43839938048279, -4.002535626762965], [-81.43839938048279, -4.242535626762965], [-81.19839938048278, -4.242535626762965]]]</t>
  </si>
  <si>
    <t>0,04</t>
  </si>
  <si>
    <t>2022-02-18T00:00:00Z/2022-03-03T23:59:59Z</t>
  </si>
  <si>
    <t>(-4.597191037240321, -81.30731189786879)</t>
  </si>
  <si>
    <t>POINT (-81.30731189786879 -4.597191037240321)</t>
  </si>
  <si>
    <t>[-81.50231189786872, -4.717191037240321, -81.26231189786871, -4.4771910372403205]</t>
  </si>
  <si>
    <t>[[[-81.26231189786871, -4.717191037240321], [-81.26231189786871, -4.4771910372403205], [-81.50231189786872, -4.4771910372403205], [-81.50231189786872, -4.717191037240321], [-81.26231189786871, -4.717191037240321]]]</t>
  </si>
  <si>
    <t>2022-03-29T00:00:00Z/2022-04-11T23:59:59Z</t>
  </si>
  <si>
    <t>(-4.631434016050545, -81.32396989185129)</t>
  </si>
  <si>
    <t>POINT (-81.32396989185129 -4.631434016050545)</t>
  </si>
  <si>
    <t>[-81.50396989185124, -4.7514340160505455, -81.26396989185123, -4.511434016050545]</t>
  </si>
  <si>
    <t>[[[-81.26396989185123, -4.7514340160505455], [-81.26396989185123, -4.511434016050545], [-81.50396989185124, -4.511434016050545], [-81.50396989185124, -4.7514340160505455], [-81.26396989185123, -4.7514340160505455]]]</t>
  </si>
  <si>
    <t>2022-07-02T00:00:00Z/2022-07-15T23:59:59Z</t>
  </si>
  <si>
    <t>(-4.293813043770969, -81.30477110994318)</t>
  </si>
  <si>
    <t>POINT (-81.30477110994318 -4.293813043770969)</t>
  </si>
  <si>
    <t>[-81.44477110994316, -4.413813043770969, -81.20477110994315, -4.173813043770969]</t>
  </si>
  <si>
    <t>[[[-81.20477110994315, -4.413813043770969], [-81.20477110994315, -4.173813043770969], [-81.44477110994316, -4.173813043770969], [-81.44477110994316, -4.413813043770969], [-81.20477110994315, -4.413813043770969]]]</t>
  </si>
  <si>
    <t>2,6</t>
  </si>
  <si>
    <t>2022-08-24T00:00:00Z/2022-09-06T23:59:59Z</t>
  </si>
  <si>
    <t>(-4.289609499779944, -81.27249850964336)</t>
  </si>
  <si>
    <t>POINT (-81.27249850964336 -4.289609499779944)</t>
  </si>
  <si>
    <t>[-81.44249850964331, -4.409609499779944, -81.2024985096433, -4.169609499779944]</t>
  </si>
  <si>
    <t>[[[-81.2024985096433, -4.409609499779944], [-81.2024985096433, -4.169609499779944], [-81.44249850964331, -4.169609499779944], [-81.44249850964331, -4.409609499779944], [-81.2024985096433, -4.409609499779944]]]</t>
  </si>
  <si>
    <t>2022-10-07T00:00:00Z/2022-10-20T23:59:59Z</t>
  </si>
  <si>
    <t>(-4.306266438897687, -81.26697110490733)</t>
  </si>
  <si>
    <t>POINT (-81.26697110490733 -4.306266438897687)</t>
  </si>
  <si>
    <t>[-81.44697110490728, -4.426266438897687, -81.20697110490727, -4.186266438897687]</t>
  </si>
  <si>
    <t>[[[-81.20697110490727, -4.426266438897687], [-81.20697110490727, -4.186266438897687], [-81.44697110490728, -4.186266438897687], [-81.44697110490728, -4.426266438897687], [-81.20697110490727, -4.426266438897687]]]</t>
  </si>
  <si>
    <t>2023-08-18T00:00:00Z/2023-08-31T23:59:59Z</t>
  </si>
  <si>
    <t>(-4.302529958459555, -81.2921129170068)</t>
  </si>
  <si>
    <t>POINT (-81.2921129170068 -4.302529958459555)</t>
  </si>
  <si>
    <t>[-81.44711291700678, -4.422529958459555, -81.20711291700677, -4.182529958459555]</t>
  </si>
  <si>
    <t>[[[-81.20711291700677, -4.422529958459555], [-81.20711291700677, -4.182529958459555], [-81.44711291700678, -4.182529958459555], [-81.44711291700678, -4.422529958459555], [-81.20711291700677, -4.422529958459555]]]</t>
  </si>
  <si>
    <t>PETROBRAS ENERGIA PERU S.A.</t>
  </si>
  <si>
    <t>LOTE X</t>
  </si>
  <si>
    <t>2014-05-13T00:00:00Z/2014-05-26T23:59:59Z</t>
  </si>
  <si>
    <t>(-4.248779551029372, -81.22293117180315)</t>
  </si>
  <si>
    <t>POINT (-81.22293117180315 -4.248779551029372)</t>
  </si>
  <si>
    <t>[-81.42793117180308, -4.368779551029372, -81.18793117180307, -4.128779551029372]</t>
  </si>
  <si>
    <t>[[[-81.18793117180307, -4.368779551029372], [-81.18793117180307, -4.128779551029372], [-81.42793117180308, -4.128779551029372], [-81.42793117180308, -4.368779551029372], [-81.18793117180307, -4.368779551029372]]]</t>
  </si>
  <si>
    <t>OLYMPIC PERU INC. SUCURSAL DEL PERU</t>
  </si>
  <si>
    <t>LOTE XIII</t>
  </si>
  <si>
    <t>2015-05-15T00:00:00Z/2015-05-28T23:59:59Z</t>
  </si>
  <si>
    <t>(-4.894630986845379, -81.11087565776097)</t>
  </si>
  <si>
    <t>POINT (-81.11087565776097 -4.894630986845379)</t>
  </si>
  <si>
    <t>[-81.37087565776085, -5.014630986845379, -81.13087565776084, -4.774630986845379]</t>
  </si>
  <si>
    <t>[[[-81.13087565776084, -5.014630986845379], [-81.13087565776084, -4.774630986845379], [-81.37087565776085, -4.774630986845379], [-81.37087565776085, -5.014630986845379], [-81.13087565776084, -5.014630986845379]]]</t>
  </si>
  <si>
    <t>2013-07-04T00:00:00Z/2013-07-17T23:59:59Z</t>
  </si>
  <si>
    <t>(-4.452688078234731, -81.28822315701667)</t>
  </si>
  <si>
    <t>POINT (-81.28822315701667 -4.452688078234731)</t>
  </si>
  <si>
    <t>[-81.47822315701661, -4.572688078234731, -81.2382231570166, -4.332688078234731]</t>
  </si>
  <si>
    <t>[[[-81.2382231570166, -4.572688078234731], [-81.2382231570166, -4.332688078234731], [-81.47822315701661, -4.332688078234731], [-81.47822315701661, -4.572688078234731], [-81.2382231570166, -4.572688078234731]]]</t>
  </si>
  <si>
    <t>('-5.0099903', '-80.9733735')</t>
  </si>
  <si>
    <t>('-3.680529', '-80.6797377')</t>
  </si>
  <si>
    <t>('-8.1116778', '-79.0287742')</t>
  </si>
  <si>
    <t>('-4.5111366', '-81.0984392')</t>
  </si>
  <si>
    <t>('-12.045289940133868', '-77.11267352226777')</t>
  </si>
  <si>
    <t>('-6.784141637274984', '-79.8449212071791')</t>
  </si>
  <si>
    <t>[-81.31518919999982, -4.517886600000001, -81.29168919999981, -4.4943866]</t>
  </si>
  <si>
    <t>[-81.0901234999999, -5.0167403, -81.06662349999989, -4.9932403]</t>
  </si>
  <si>
    <t>[-77.16942352226773, -12.052039940133866, -77.14592352226772, -12.028539940133868]</t>
  </si>
  <si>
    <t>[-80.7064877, -3.687279, -80.68298769999998, -3.663779]</t>
  </si>
  <si>
    <t>[-79.98667120717899, -6.795891637274984, -79.96317120717897, -6.772391637274984]</t>
  </si>
  <si>
    <t>[-79.12052419999993, -8.1234278, -79.09702419999992, -8.099927800000001]</t>
  </si>
  <si>
    <t>-81.0984392</t>
  </si>
  <si>
    <t>-80.9733735</t>
  </si>
  <si>
    <t>-77.11267352226777</t>
  </si>
  <si>
    <t>-80.6797377</t>
  </si>
  <si>
    <t>-79.8449212071791</t>
  </si>
  <si>
    <t>-79.0287742</t>
  </si>
  <si>
    <t>-4.5111366</t>
  </si>
  <si>
    <t>-5.0099903</t>
  </si>
  <si>
    <t>-12.045289940133868</t>
  </si>
  <si>
    <t>-3.680529</t>
  </si>
  <si>
    <t>-6.784141637274984</t>
  </si>
  <si>
    <t>-8.1116778</t>
  </si>
  <si>
    <t>2004-12-17T00:00:00Z/2004-12-30T23:59:59Z</t>
  </si>
  <si>
    <t>2009-08-26T00:00:00Z/2009-09-08T23:59:59Z</t>
  </si>
  <si>
    <t>2009-10-27T00:00:00Z/2009-11-09T23:59:59Z</t>
  </si>
  <si>
    <t>2011-01-26T00:00:00Z/2011-02-08T23:59:59Z</t>
  </si>
  <si>
    <t>2013-02-04T00:00:00Z/2013-02-17T23:59:59Z</t>
  </si>
  <si>
    <t>2015-05-21T00:00:00Z/2015-06-03T23:59:59Z</t>
  </si>
  <si>
    <t>2016-02-13T00:00:00Z/2016-02-26T23:59:59Z</t>
  </si>
  <si>
    <t>2016-03-11T00:00:00Z/2016-03-24T23:59:59Z</t>
  </si>
  <si>
    <t>2018-09-26T00:00:00Z/2018-10-09T23:59:59Z</t>
  </si>
  <si>
    <t>2018-11-19T00:00:00Z/2018-12-02T23:59:59Z</t>
  </si>
  <si>
    <t>2021-01-21T00:00:00Z/2021-02-03T23:59:59Z</t>
  </si>
  <si>
    <t>2022-01-26T00:00:00Z/2022-02-08T23:59:59Z</t>
  </si>
  <si>
    <t>2022-08-14T00:00:00Z/2022-08-27T23:59:59Z</t>
  </si>
  <si>
    <t>2022-10-09T00:00:00Z/2022-10-22T23:59:59Z</t>
  </si>
  <si>
    <t>[[[-81.29168919999981, -4.517886600000001], [-81.29168919999981, -4.4943866], [-81.31518919999982, -4.4943866], [-81.31518919999982, -4.517886600000001], [-81.29168919999981, -4.517886600000001]]]</t>
  </si>
  <si>
    <t>[[[-81.06662349999989, -5.0167403], [-81.06662349999989, -4.9932403], [-81.0901234999999, -4.9932403], [-81.0901234999999, -5.0167403], [-81.06662349999989, -5.0167403]]]</t>
  </si>
  <si>
    <t>[[[-77.14592352226772, -12.052039940133866], [-77.14592352226772, -12.028539940133868], [-77.16942352226773, -12.028539940133868], [-77.16942352226773, -12.052039940133866], [-77.14592352226772, -12.052039940133866]]]</t>
  </si>
  <si>
    <t>[[[-80.68298769999998, -3.687279], [-80.68298769999998, -3.663779], [-80.7064877, -3.663779], [-80.7064877, -3.687279], [-80.68298769999998, -3.687279]]]</t>
  </si>
  <si>
    <t>[[[-79.96317120717897, -6.795891637274984], [-79.96317120717897, -6.772391637274984], [-79.98667120717899, -6.772391637274984], [-79.98667120717899, -6.795891637274984], [-79.96317120717897, -6.795891637274984]]]</t>
  </si>
  <si>
    <t>[[[-79.09702419999992, -8.1234278], [-79.09702419999992, -8.099927800000001], [-79.12052419999993, -8.099927800000001], [-79.12052419999993, -8.1234278], [-79.09702419999992, -8.1234278]]]</t>
  </si>
  <si>
    <t>NO SE DETERMINÓ</t>
  </si>
  <si>
    <t>2 m2</t>
  </si>
  <si>
    <t>NR</t>
  </si>
  <si>
    <t>200m2</t>
  </si>
  <si>
    <t>122 m2</t>
  </si>
  <si>
    <t>105.33 km2 (En mar) y 1.19 km2 (En tierra)</t>
  </si>
  <si>
    <t>0.5 m2</t>
  </si>
  <si>
    <t>402.5 m2</t>
  </si>
  <si>
    <t>OSINERGMIN</t>
  </si>
  <si>
    <t>Piura</t>
  </si>
  <si>
    <t>Lima</t>
  </si>
  <si>
    <t>Tumbes</t>
  </si>
  <si>
    <t>LAMBAYEQUE</t>
  </si>
  <si>
    <t>LA LIBERTAD</t>
  </si>
  <si>
    <t>La Libertad</t>
  </si>
  <si>
    <t>TRUJILLO</t>
  </si>
  <si>
    <t>238.5 lts</t>
  </si>
  <si>
    <t>1431.0 lts</t>
  </si>
  <si>
    <t>1113.0 lts</t>
  </si>
  <si>
    <t>397.5 lts</t>
  </si>
  <si>
    <t>1003.29 lts</t>
  </si>
  <si>
    <t>1652964.0 lts</t>
  </si>
  <si>
    <t>0.5 lts</t>
  </si>
  <si>
    <t>270.3 lts</t>
  </si>
  <si>
    <t>os_0</t>
  </si>
  <si>
    <t>os_1</t>
  </si>
  <si>
    <t>os_2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</si>
  <si>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</si>
  <si>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</si>
  <si>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</si>
  <si>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</si>
  <si>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</si>
  <si>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</si>
  <si>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</si>
  <si>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</si>
  <si>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</si>
  <si>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</si>
  <si>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</si>
  <si>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</si>
  <si>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</si>
  <si>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</si>
  <si>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</si>
  <si>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</si>
  <si>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</si>
  <si>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</si>
  <si>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</si>
  <si>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PETROTECH PERUANA S.A.</t>
  </si>
  <si>
    <t>OLYMPIC PERÚ INC. SUCURSAL DEL PERÚ</t>
  </si>
  <si>
    <t>REFINERIA LA PAMPILLA S.A.A.</t>
  </si>
  <si>
    <t>SAVIA PERÚ S.A.</t>
  </si>
  <si>
    <t>BPZ EXPLORACION &amp; PRODUCCION S.R.L.</t>
  </si>
  <si>
    <t>Savia Perú S.A.</t>
  </si>
  <si>
    <t>PETROLEOS DEL PERU - PETROPERU S.A.</t>
  </si>
  <si>
    <t>Petróleo</t>
  </si>
  <si>
    <t>LITROS</t>
  </si>
  <si>
    <t>Al norte de la quebrada Pariñas, Lobitos - Talara</t>
  </si>
  <si>
    <t>Peña Negra Mar</t>
  </si>
  <si>
    <t>Zona Milton Sur Lobitos Tubo 1974</t>
  </si>
  <si>
    <t>Lote XIII-A</t>
  </si>
  <si>
    <t>Mar frente a La Pampilla</t>
  </si>
  <si>
    <t>Plataformas pn10 , zona de peña negra</t>
  </si>
  <si>
    <t>180m a orilla frente a bateria primavera</t>
  </si>
  <si>
    <t>Corvina</t>
  </si>
  <si>
    <t>Lobitos mar</t>
  </si>
  <si>
    <t>Providencia Msr</t>
  </si>
  <si>
    <t>zona de Playa - Terminal Eten</t>
  </si>
  <si>
    <t>Amarradero Multiboyas - Terminal Salaverry</t>
  </si>
  <si>
    <t>Amarradero Multiboyas</t>
  </si>
  <si>
    <t>Plataforma PN4 - Peña Negra Mar - Pozo PN4-21</t>
  </si>
  <si>
    <t>Plataforma KK, Peña Negra Mar</t>
  </si>
  <si>
    <t>PLATAFORMA PN10, PEÑA NEGRA</t>
  </si>
  <si>
    <t>Oleoducto principal Batería 1 - PTS (Siches)</t>
  </si>
  <si>
    <t>Terminal N° 2 (Latitud 11° 55.9’S, Longitud 077° 10.9’W)</t>
  </si>
  <si>
    <t>Plataforma PN14 , Peña Negra Mar</t>
  </si>
  <si>
    <t>Terminal Submarino Multiboyas de Refinería Talara</t>
  </si>
  <si>
    <t>Linea de 8"φ de Oleoducto Peña Negra PTS entre Batería 1 y Estación de compresores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</si>
</sst>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4DD4-C56F-425C-9407-A7F0C089F0AB}" name="Tabla1" displayName="Tabla1" ref="A1:V68" totalsRowShown="0" headerRowDxfId="4" headerRowBorderDxfId="3" tableBorderDxfId="2">
  <autoFilter ref="A1:V68" xr:uid="{0ED94DD4-C56F-425C-9407-A7F0C089F0AB}"/>
  <tableColumns count="22">
    <tableColumn id="1" xr3:uid="{45A2BA95-B39D-4DF4-80E9-23215F77A3E1}" name="ADMINISTRADO"/>
    <tableColumn id="2" xr3:uid="{E1B2BCF1-CACC-417B-BCC9-7A2B4591CB5B}" name="UNIDAD"/>
    <tableColumn id="3" xr3:uid="{3814C862-9A17-4C6C-9523-89D86EF5ECDD}" name="FECHA DE EMERGENCIA AMBIENTAL" dataDxfId="1"/>
    <tableColumn id="4" xr3:uid="{79A5B6BC-BCDB-418D-B7C1-DE7D44E00843}" name="REGION"/>
    <tableColumn id="5" xr3:uid="{EA0ED0A1-26EF-48AF-8E88-BC2401522B1C}" name="ZONA"/>
    <tableColumn id="6" xr3:uid="{7A44CA76-CFD1-45EF-BDE1-C92D0C70105B}" name="ESTE"/>
    <tableColumn id="7" xr3:uid="{DCD61224-F2EE-4969-A790-2494B916E63B}" name="NORTE"/>
    <tableColumn id="8" xr3:uid="{C0F57093-CF4D-4ACD-B901-EB31E836C5C0}" name="TIPO"/>
    <tableColumn id="9" xr3:uid="{83A2946B-23CF-4C59-A1D4-65D86D04AED8}" name="CANTIDAD"/>
    <tableColumn id="22" xr3:uid="{C4708F04-5333-4D39-B202-74FD8A4DFD0C}" name="GALONES" dataDxfId="0">
      <calculatedColumnFormula>IF(ISNUMBER(VALUE(SUBSTITUTE(Tabla1[[#This Row],[CANTIDAD]]," lts", ""))),VALUE(SUBSTITUTE(Tabla1[[#This Row],[CANTIDAD]]," lts","")),0)</calculatedColumnFormula>
    </tableColumn>
    <tableColumn id="10" xr3:uid="{F98C9600-D20D-45CE-8547-E77FCD7F966B}" name="UNIDAD2"/>
    <tableColumn id="11" xr3:uid="{66FB551C-B74E-40BD-BDA9-D07C384153D0}" name="AREA"/>
    <tableColumn id="12" xr3:uid="{8A2599F6-B032-4D38-80EA-DAA29E4CD7E3}" name="TIPO3"/>
    <tableColumn id="13" xr3:uid="{A1C7104E-3972-4B41-B17A-B07951678C02}" name="DATOS"/>
    <tableColumn id="14" xr3:uid="{5257A3D2-1421-406E-98A3-19CAF48C12A2}" name="LAT"/>
    <tableColumn id="15" xr3:uid="{51C3A07D-1DF3-461F-A722-96EBCF33AC18}" name="LON"/>
    <tableColumn id="16" xr3:uid="{675FED06-5335-4EBB-BD87-D7D9C47208EA}" name="datetime"/>
    <tableColumn id="17" xr3:uid="{19B83F65-4E12-41A4-9DC8-807B16BCA7C8}" name="coordinates"/>
    <tableColumn id="18" xr3:uid="{873DB400-96E8-4A0E-ACCF-80E2F0A69269}" name="Original index"/>
    <tableColumn id="19" xr3:uid="{6774069B-50DE-48B0-A93C-197CE63D0570}" name="geometry"/>
    <tableColumn id="20" xr3:uid="{6294D371-F876-423D-B25C-FED39042182F}" name="bbox"/>
    <tableColumn id="21" xr3:uid="{D8E9525F-8E73-452D-9DE5-AAB3C8B12B21}" name="bbox_conver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topLeftCell="A37" workbookViewId="0">
      <selection activeCell="C51" sqref="C51"/>
    </sheetView>
  </sheetViews>
  <sheetFormatPr baseColWidth="10" defaultColWidth="9.140625" defaultRowHeight="15" x14ac:dyDescent="0.25"/>
  <cols>
    <col min="1" max="1" width="35.5703125" customWidth="1"/>
    <col min="2" max="2" width="10.42578125" customWidth="1"/>
    <col min="3" max="3" width="56.5703125" customWidth="1"/>
    <col min="4" max="4" width="10.140625" customWidth="1"/>
    <col min="7" max="7" width="24" customWidth="1"/>
    <col min="8" max="8" width="39.7109375" customWidth="1"/>
    <col min="9" max="9" width="24.28515625" customWidth="1"/>
    <col min="10" max="10" width="48.42578125" customWidth="1"/>
    <col min="11" max="11" width="23.28515625" customWidth="1"/>
    <col min="15" max="15" width="34.85546875" customWidth="1"/>
    <col min="16" max="16" width="38.5703125" customWidth="1"/>
    <col min="17" max="17" width="13.5703125" customWidth="1"/>
    <col min="18" max="18" width="15.5703125" customWidth="1"/>
    <col min="19" max="19" width="11.7109375" customWidth="1"/>
    <col min="21" max="21" width="17.57031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82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 t="s">
        <v>21</v>
      </c>
      <c r="B2" t="s">
        <v>22</v>
      </c>
      <c r="C2" s="1">
        <v>40955</v>
      </c>
      <c r="D2" t="s">
        <v>23</v>
      </c>
      <c r="E2">
        <v>17</v>
      </c>
      <c r="F2">
        <v>468654</v>
      </c>
      <c r="G2">
        <v>9494226</v>
      </c>
      <c r="H2" t="s">
        <v>24</v>
      </c>
      <c r="I2">
        <v>2</v>
      </c>
      <c r="J2">
        <f>IF(ISNUMBER(VALUE(SUBSTITUTE(Tabla1[[#This Row],[CANTIDAD]]," lts", ""))),VALUE(SUBSTITUTE(Tabla1[[#This Row],[CANTIDAD]]," lts","")),0)</f>
        <v>2</v>
      </c>
      <c r="K2" t="s">
        <v>25</v>
      </c>
      <c r="L2">
        <v>2750</v>
      </c>
      <c r="M2" t="s">
        <v>26</v>
      </c>
      <c r="N2" t="s">
        <v>27</v>
      </c>
      <c r="O2">
        <v>-81.282592146048344</v>
      </c>
      <c r="P2">
        <v>-4.575742681270687</v>
      </c>
      <c r="Q2" t="s">
        <v>28</v>
      </c>
      <c r="R2" t="s">
        <v>29</v>
      </c>
      <c r="S2">
        <v>1</v>
      </c>
      <c r="T2" t="s">
        <v>30</v>
      </c>
      <c r="U2" t="s">
        <v>31</v>
      </c>
      <c r="V2" t="s">
        <v>32</v>
      </c>
    </row>
    <row r="3" spans="1:22" x14ac:dyDescent="0.25">
      <c r="A3" t="s">
        <v>21</v>
      </c>
      <c r="B3" t="s">
        <v>22</v>
      </c>
      <c r="C3" s="1">
        <v>42077</v>
      </c>
      <c r="D3" t="s">
        <v>23</v>
      </c>
      <c r="E3">
        <v>17</v>
      </c>
      <c r="F3">
        <v>468726</v>
      </c>
      <c r="G3">
        <v>9494463</v>
      </c>
      <c r="H3" t="s">
        <v>33</v>
      </c>
      <c r="I3">
        <v>133</v>
      </c>
      <c r="J3">
        <f>IF(ISNUMBER(VALUE(SUBSTITUTE(Tabla1[[#This Row],[CANTIDAD]]," lts", ""))),VALUE(SUBSTITUTE(Tabla1[[#This Row],[CANTIDAD]]," lts","")),0)</f>
        <v>133</v>
      </c>
      <c r="K3" t="s">
        <v>34</v>
      </c>
      <c r="L3">
        <v>300</v>
      </c>
      <c r="M3" t="s">
        <v>35</v>
      </c>
      <c r="N3" t="s">
        <v>27</v>
      </c>
      <c r="O3">
        <v>-81.281942214516917</v>
      </c>
      <c r="P3">
        <v>-4.573598887022488</v>
      </c>
      <c r="Q3" t="s">
        <v>36</v>
      </c>
      <c r="R3" t="s">
        <v>37</v>
      </c>
      <c r="S3">
        <v>7</v>
      </c>
      <c r="T3" t="s">
        <v>38</v>
      </c>
      <c r="U3" t="s">
        <v>39</v>
      </c>
      <c r="V3" t="s">
        <v>40</v>
      </c>
    </row>
    <row r="4" spans="1:22" x14ac:dyDescent="0.25">
      <c r="A4" t="s">
        <v>41</v>
      </c>
      <c r="B4" t="s">
        <v>42</v>
      </c>
      <c r="C4" s="1">
        <v>42374</v>
      </c>
      <c r="D4" t="s">
        <v>43</v>
      </c>
      <c r="E4">
        <v>19</v>
      </c>
      <c r="F4">
        <v>251807</v>
      </c>
      <c r="G4">
        <v>8048701</v>
      </c>
      <c r="H4" t="s">
        <v>44</v>
      </c>
      <c r="I4">
        <v>11.19</v>
      </c>
      <c r="J4">
        <f>IF(ISNUMBER(VALUE(SUBSTITUTE(Tabla1[[#This Row],[CANTIDAD]]," lts", ""))),VALUE(SUBSTITUTE(Tabla1[[#This Row],[CANTIDAD]]," lts","")),0)</f>
        <v>11.19</v>
      </c>
      <c r="K4" t="s">
        <v>45</v>
      </c>
      <c r="L4">
        <v>595</v>
      </c>
      <c r="M4" t="s">
        <v>46</v>
      </c>
      <c r="N4" t="s">
        <v>27</v>
      </c>
      <c r="O4">
        <v>-71.339176594763458</v>
      </c>
      <c r="P4">
        <v>-17.634633278947181</v>
      </c>
      <c r="Q4" t="s">
        <v>47</v>
      </c>
      <c r="R4" t="s">
        <v>48</v>
      </c>
      <c r="S4">
        <v>9</v>
      </c>
      <c r="T4" t="s">
        <v>49</v>
      </c>
      <c r="U4" t="s">
        <v>50</v>
      </c>
      <c r="V4" t="s">
        <v>51</v>
      </c>
    </row>
    <row r="5" spans="1:22" x14ac:dyDescent="0.25">
      <c r="A5" t="s">
        <v>21</v>
      </c>
      <c r="B5" t="s">
        <v>52</v>
      </c>
      <c r="C5" s="1">
        <v>42509</v>
      </c>
      <c r="D5" t="s">
        <v>23</v>
      </c>
      <c r="E5">
        <v>17</v>
      </c>
      <c r="F5">
        <v>469558</v>
      </c>
      <c r="G5">
        <v>9491950</v>
      </c>
      <c r="H5" t="s">
        <v>53</v>
      </c>
      <c r="I5" t="s">
        <v>54</v>
      </c>
      <c r="J5">
        <f>IF(ISNUMBER(VALUE(SUBSTITUTE(Tabla1[[#This Row],[CANTIDAD]]," lts", ""))),VALUE(SUBSTITUTE(Tabla1[[#This Row],[CANTIDAD]]," lts","")),0)</f>
        <v>0</v>
      </c>
      <c r="K5" t="s">
        <v>54</v>
      </c>
      <c r="L5" t="s">
        <v>54</v>
      </c>
      <c r="M5" t="s">
        <v>54</v>
      </c>
      <c r="N5" t="s">
        <v>27</v>
      </c>
      <c r="O5">
        <v>-81.27445027923514</v>
      </c>
      <c r="P5">
        <v>-4.5963359790830234</v>
      </c>
      <c r="Q5" t="s">
        <v>55</v>
      </c>
      <c r="R5" t="s">
        <v>56</v>
      </c>
      <c r="S5">
        <v>12</v>
      </c>
      <c r="T5" t="s">
        <v>57</v>
      </c>
      <c r="U5" t="s">
        <v>58</v>
      </c>
      <c r="V5" t="s">
        <v>59</v>
      </c>
    </row>
    <row r="6" spans="1:22" x14ac:dyDescent="0.25">
      <c r="A6" t="s">
        <v>41</v>
      </c>
      <c r="B6" t="s">
        <v>42</v>
      </c>
      <c r="C6" s="1">
        <v>42590</v>
      </c>
      <c r="D6" t="s">
        <v>43</v>
      </c>
      <c r="E6">
        <v>19</v>
      </c>
      <c r="F6">
        <v>251797</v>
      </c>
      <c r="G6">
        <v>8048705</v>
      </c>
      <c r="H6" t="s">
        <v>44</v>
      </c>
      <c r="I6">
        <v>600</v>
      </c>
      <c r="J6">
        <f>IF(ISNUMBER(VALUE(SUBSTITUTE(Tabla1[[#This Row],[CANTIDAD]]," lts", ""))),VALUE(SUBSTITUTE(Tabla1[[#This Row],[CANTIDAD]]," lts","")),0)</f>
        <v>600</v>
      </c>
      <c r="K6" t="s">
        <v>45</v>
      </c>
      <c r="L6">
        <v>550</v>
      </c>
      <c r="M6" t="s">
        <v>60</v>
      </c>
      <c r="N6" t="s">
        <v>27</v>
      </c>
      <c r="O6">
        <v>-71.339270319319127</v>
      </c>
      <c r="P6">
        <v>-17.634596035662732</v>
      </c>
      <c r="Q6" t="s">
        <v>61</v>
      </c>
      <c r="R6" t="s">
        <v>62</v>
      </c>
      <c r="S6">
        <v>15</v>
      </c>
      <c r="T6" t="s">
        <v>63</v>
      </c>
      <c r="U6" t="s">
        <v>64</v>
      </c>
      <c r="V6" t="s">
        <v>65</v>
      </c>
    </row>
    <row r="7" spans="1:22" x14ac:dyDescent="0.25">
      <c r="A7" t="s">
        <v>66</v>
      </c>
      <c r="B7" t="s">
        <v>67</v>
      </c>
      <c r="C7" s="1">
        <v>43256</v>
      </c>
      <c r="D7" t="s">
        <v>68</v>
      </c>
      <c r="E7">
        <v>18</v>
      </c>
      <c r="F7">
        <v>266506</v>
      </c>
      <c r="G7">
        <v>8667318</v>
      </c>
      <c r="H7" t="s">
        <v>33</v>
      </c>
      <c r="I7">
        <v>4</v>
      </c>
      <c r="J7">
        <f>IF(ISNUMBER(VALUE(SUBSTITUTE(Tabla1[[#This Row],[CANTIDAD]]," lts", ""))),VALUE(SUBSTITUTE(Tabla1[[#This Row],[CANTIDAD]]," lts","")),0)</f>
        <v>4</v>
      </c>
      <c r="K7" t="s">
        <v>25</v>
      </c>
      <c r="L7">
        <v>128</v>
      </c>
      <c r="M7" t="s">
        <v>26</v>
      </c>
      <c r="N7" t="s">
        <v>27</v>
      </c>
      <c r="O7">
        <v>-77.144832839762074</v>
      </c>
      <c r="P7">
        <v>-12.04716916462295</v>
      </c>
      <c r="Q7" t="s">
        <v>69</v>
      </c>
      <c r="R7" t="s">
        <v>70</v>
      </c>
      <c r="S7">
        <v>28</v>
      </c>
      <c r="T7" t="s">
        <v>71</v>
      </c>
      <c r="U7" t="s">
        <v>72</v>
      </c>
      <c r="V7" t="s">
        <v>73</v>
      </c>
    </row>
    <row r="8" spans="1:22" x14ac:dyDescent="0.25">
      <c r="A8" t="s">
        <v>66</v>
      </c>
      <c r="B8" t="s">
        <v>67</v>
      </c>
      <c r="C8" s="1">
        <v>43384</v>
      </c>
      <c r="D8" t="s">
        <v>68</v>
      </c>
      <c r="E8">
        <v>18</v>
      </c>
      <c r="F8">
        <v>266411</v>
      </c>
      <c r="G8">
        <v>8667310</v>
      </c>
      <c r="H8" t="s">
        <v>74</v>
      </c>
      <c r="I8">
        <v>7.0000000000000007E-2</v>
      </c>
      <c r="J8">
        <f>IF(ISNUMBER(VALUE(SUBSTITUTE(Tabla1[[#This Row],[CANTIDAD]]," lts", ""))),VALUE(SUBSTITUTE(Tabla1[[#This Row],[CANTIDAD]]," lts","")),0)</f>
        <v>7.0000000000000007E-2</v>
      </c>
      <c r="K8" t="s">
        <v>25</v>
      </c>
      <c r="L8">
        <v>10</v>
      </c>
      <c r="M8" t="s">
        <v>75</v>
      </c>
      <c r="N8" t="s">
        <v>27</v>
      </c>
      <c r="O8">
        <v>-77.145705638476784</v>
      </c>
      <c r="P8">
        <v>-12.047234748151469</v>
      </c>
      <c r="Q8" t="s">
        <v>76</v>
      </c>
      <c r="R8" t="s">
        <v>77</v>
      </c>
      <c r="S8">
        <v>31</v>
      </c>
      <c r="T8" t="s">
        <v>78</v>
      </c>
      <c r="U8" t="s">
        <v>79</v>
      </c>
      <c r="V8" t="s">
        <v>80</v>
      </c>
    </row>
    <row r="9" spans="1:22" x14ac:dyDescent="0.25">
      <c r="A9" t="s">
        <v>21</v>
      </c>
      <c r="B9" t="s">
        <v>22</v>
      </c>
      <c r="C9" s="1">
        <v>43611</v>
      </c>
      <c r="D9" t="s">
        <v>23</v>
      </c>
      <c r="E9">
        <v>17</v>
      </c>
      <c r="F9">
        <v>468690</v>
      </c>
      <c r="G9">
        <v>9494446</v>
      </c>
      <c r="H9" t="s">
        <v>81</v>
      </c>
      <c r="I9">
        <v>10</v>
      </c>
      <c r="J9">
        <f>IF(ISNUMBER(VALUE(SUBSTITUTE(Tabla1[[#This Row],[CANTIDAD]]," lts", ""))),VALUE(SUBSTITUTE(Tabla1[[#This Row],[CANTIDAD]]," lts","")),0)</f>
        <v>10</v>
      </c>
      <c r="K9" t="s">
        <v>82</v>
      </c>
      <c r="L9">
        <v>150</v>
      </c>
      <c r="M9" t="s">
        <v>26</v>
      </c>
      <c r="N9" t="s">
        <v>27</v>
      </c>
      <c r="O9">
        <v>-81.282266820243393</v>
      </c>
      <c r="P9">
        <v>-4.57375255179047</v>
      </c>
      <c r="Q9" t="s">
        <v>83</v>
      </c>
      <c r="R9" t="s">
        <v>84</v>
      </c>
      <c r="S9">
        <v>35</v>
      </c>
      <c r="T9" t="s">
        <v>85</v>
      </c>
      <c r="U9" t="s">
        <v>86</v>
      </c>
      <c r="V9" t="s">
        <v>87</v>
      </c>
    </row>
    <row r="10" spans="1:22" x14ac:dyDescent="0.25">
      <c r="A10" t="s">
        <v>21</v>
      </c>
      <c r="B10" t="s">
        <v>22</v>
      </c>
      <c r="C10" s="1">
        <v>44092</v>
      </c>
      <c r="D10" t="s">
        <v>23</v>
      </c>
      <c r="E10">
        <v>17</v>
      </c>
      <c r="F10">
        <v>467464</v>
      </c>
      <c r="G10">
        <v>9493372</v>
      </c>
      <c r="H10" t="s">
        <v>88</v>
      </c>
      <c r="I10">
        <v>0.9</v>
      </c>
      <c r="J10">
        <f>IF(ISNUMBER(VALUE(SUBSTITUTE(Tabla1[[#This Row],[CANTIDAD]]," lts", ""))),VALUE(SUBSTITUTE(Tabla1[[#This Row],[CANTIDAD]]," lts","")),0)</f>
        <v>0.9</v>
      </c>
      <c r="K10" t="s">
        <v>25</v>
      </c>
      <c r="L10">
        <v>200</v>
      </c>
      <c r="M10" t="s">
        <v>26</v>
      </c>
      <c r="N10" t="s">
        <v>27</v>
      </c>
      <c r="O10">
        <v>-81.293323351920534</v>
      </c>
      <c r="P10">
        <v>-4.583464174283006</v>
      </c>
      <c r="Q10" t="s">
        <v>89</v>
      </c>
      <c r="R10" t="s">
        <v>90</v>
      </c>
      <c r="S10">
        <v>42</v>
      </c>
      <c r="T10" t="s">
        <v>91</v>
      </c>
      <c r="U10" t="s">
        <v>92</v>
      </c>
      <c r="V10" t="s">
        <v>93</v>
      </c>
    </row>
    <row r="11" spans="1:22" x14ac:dyDescent="0.25">
      <c r="A11" t="s">
        <v>94</v>
      </c>
      <c r="B11" t="s">
        <v>95</v>
      </c>
      <c r="C11" s="1">
        <v>44585</v>
      </c>
      <c r="D11" t="s">
        <v>68</v>
      </c>
      <c r="E11">
        <v>18</v>
      </c>
      <c r="F11">
        <v>265619</v>
      </c>
      <c r="G11">
        <v>8680762</v>
      </c>
      <c r="H11" t="s">
        <v>96</v>
      </c>
      <c r="I11">
        <v>10397</v>
      </c>
      <c r="J11">
        <f>IF(ISNUMBER(VALUE(SUBSTITUTE(Tabla1[[#This Row],[CANTIDAD]]," lts", ""))),VALUE(SUBSTITUTE(Tabla1[[#This Row],[CANTIDAD]]," lts","")),0)</f>
        <v>10397</v>
      </c>
      <c r="K11" t="s">
        <v>25</v>
      </c>
      <c r="L11">
        <v>11061</v>
      </c>
      <c r="M11" t="s">
        <v>97</v>
      </c>
      <c r="N11" t="s">
        <v>27</v>
      </c>
      <c r="O11">
        <v>-77.152013357817324</v>
      </c>
      <c r="P11">
        <v>-11.92561329271703</v>
      </c>
      <c r="Q11" t="s">
        <v>98</v>
      </c>
      <c r="R11" t="s">
        <v>99</v>
      </c>
      <c r="S11">
        <v>54</v>
      </c>
      <c r="T11" t="s">
        <v>100</v>
      </c>
      <c r="U11" t="s">
        <v>101</v>
      </c>
      <c r="V11" t="s">
        <v>102</v>
      </c>
    </row>
    <row r="12" spans="1:22" x14ac:dyDescent="0.25">
      <c r="A12" t="s">
        <v>94</v>
      </c>
      <c r="B12" t="s">
        <v>95</v>
      </c>
      <c r="C12" s="1">
        <v>44576</v>
      </c>
      <c r="D12" t="s">
        <v>68</v>
      </c>
      <c r="E12">
        <v>18</v>
      </c>
      <c r="F12">
        <v>265619</v>
      </c>
      <c r="G12">
        <v>8680762</v>
      </c>
      <c r="H12" t="s">
        <v>96</v>
      </c>
      <c r="I12">
        <v>10397</v>
      </c>
      <c r="J12">
        <f>IF(ISNUMBER(VALUE(SUBSTITUTE(Tabla1[[#This Row],[CANTIDAD]]," lts", ""))),VALUE(SUBSTITUTE(Tabla1[[#This Row],[CANTIDAD]]," lts","")),0)</f>
        <v>10397</v>
      </c>
      <c r="K12" t="s">
        <v>25</v>
      </c>
      <c r="L12">
        <v>11061</v>
      </c>
      <c r="M12" t="s">
        <v>97</v>
      </c>
      <c r="N12" t="s">
        <v>27</v>
      </c>
      <c r="O12">
        <v>-77.152013357817324</v>
      </c>
      <c r="P12">
        <v>-11.92561329271703</v>
      </c>
      <c r="Q12" t="s">
        <v>103</v>
      </c>
      <c r="R12" t="s">
        <v>99</v>
      </c>
      <c r="S12">
        <v>55</v>
      </c>
      <c r="T12" t="s">
        <v>100</v>
      </c>
      <c r="U12" t="s">
        <v>101</v>
      </c>
      <c r="V12" t="s">
        <v>102</v>
      </c>
    </row>
    <row r="13" spans="1:22" x14ac:dyDescent="0.25">
      <c r="A13" t="s">
        <v>104</v>
      </c>
      <c r="B13" t="s">
        <v>105</v>
      </c>
      <c r="C13" s="1">
        <v>41647</v>
      </c>
      <c r="D13" t="s">
        <v>106</v>
      </c>
      <c r="E13">
        <v>17</v>
      </c>
      <c r="F13">
        <v>528220</v>
      </c>
      <c r="G13">
        <v>9603530</v>
      </c>
      <c r="H13" t="s">
        <v>107</v>
      </c>
      <c r="I13">
        <v>0.4</v>
      </c>
      <c r="J13">
        <f>IF(ISNUMBER(VALUE(SUBSTITUTE(Tabla1[[#This Row],[CANTIDAD]]," lts", ""))),VALUE(SUBSTITUTE(Tabla1[[#This Row],[CANTIDAD]]," lts","")),0)</f>
        <v>0.4</v>
      </c>
      <c r="K13" t="s">
        <v>25</v>
      </c>
      <c r="L13">
        <v>430000</v>
      </c>
      <c r="M13" t="s">
        <v>75</v>
      </c>
      <c r="N13" t="s">
        <v>27</v>
      </c>
      <c r="O13">
        <v>-80.745900369376287</v>
      </c>
      <c r="P13">
        <v>-3.586906023529715</v>
      </c>
      <c r="Q13" t="s">
        <v>108</v>
      </c>
      <c r="R13" t="s">
        <v>109</v>
      </c>
      <c r="S13">
        <v>78</v>
      </c>
      <c r="T13" t="s">
        <v>110</v>
      </c>
      <c r="U13" t="s">
        <v>111</v>
      </c>
      <c r="V13" t="s">
        <v>112</v>
      </c>
    </row>
    <row r="14" spans="1:22" x14ac:dyDescent="0.25">
      <c r="A14" t="s">
        <v>104</v>
      </c>
      <c r="B14" t="s">
        <v>105</v>
      </c>
      <c r="C14" s="1">
        <v>41791</v>
      </c>
      <c r="D14" t="s">
        <v>106</v>
      </c>
      <c r="E14">
        <v>17</v>
      </c>
      <c r="F14">
        <v>529191</v>
      </c>
      <c r="G14">
        <v>9601181</v>
      </c>
      <c r="H14" t="s">
        <v>107</v>
      </c>
      <c r="I14">
        <v>7</v>
      </c>
      <c r="J14">
        <f>IF(ISNUMBER(VALUE(SUBSTITUTE(Tabla1[[#This Row],[CANTIDAD]]," lts", ""))),VALUE(SUBSTITUTE(Tabla1[[#This Row],[CANTIDAD]]," lts","")),0)</f>
        <v>7</v>
      </c>
      <c r="K14" t="s">
        <v>25</v>
      </c>
      <c r="L14">
        <v>30</v>
      </c>
      <c r="M14" t="s">
        <v>35</v>
      </c>
      <c r="N14" t="s">
        <v>27</v>
      </c>
      <c r="O14">
        <v>-80.737151225561618</v>
      </c>
      <c r="P14">
        <v>-3.6081546187945421</v>
      </c>
      <c r="Q14" t="s">
        <v>113</v>
      </c>
      <c r="R14" t="s">
        <v>114</v>
      </c>
      <c r="S14">
        <v>79</v>
      </c>
      <c r="T14" t="s">
        <v>115</v>
      </c>
      <c r="U14" t="s">
        <v>116</v>
      </c>
      <c r="V14" t="s">
        <v>117</v>
      </c>
    </row>
    <row r="15" spans="1:22" x14ac:dyDescent="0.25">
      <c r="A15" t="s">
        <v>104</v>
      </c>
      <c r="B15" t="s">
        <v>105</v>
      </c>
      <c r="C15" s="1">
        <v>41904</v>
      </c>
      <c r="D15" t="s">
        <v>106</v>
      </c>
      <c r="E15">
        <v>17</v>
      </c>
      <c r="F15">
        <v>527551</v>
      </c>
      <c r="G15">
        <v>9603629</v>
      </c>
      <c r="H15" t="s">
        <v>107</v>
      </c>
      <c r="I15">
        <v>0</v>
      </c>
      <c r="J15">
        <f>IF(ISNUMBER(VALUE(SUBSTITUTE(Tabla1[[#This Row],[CANTIDAD]]," lts", ""))),VALUE(SUBSTITUTE(Tabla1[[#This Row],[CANTIDAD]]," lts","")),0)</f>
        <v>0</v>
      </c>
      <c r="K15">
        <v>0</v>
      </c>
      <c r="L15">
        <v>20</v>
      </c>
      <c r="M15" t="s">
        <v>35</v>
      </c>
      <c r="N15" t="s">
        <v>27</v>
      </c>
      <c r="O15">
        <v>-80.751924408344181</v>
      </c>
      <c r="P15">
        <v>-3.5860120424922131</v>
      </c>
      <c r="Q15" t="s">
        <v>118</v>
      </c>
      <c r="R15" t="s">
        <v>119</v>
      </c>
      <c r="S15">
        <v>80</v>
      </c>
      <c r="T15" t="s">
        <v>120</v>
      </c>
      <c r="U15" t="s">
        <v>121</v>
      </c>
      <c r="V15" t="s">
        <v>122</v>
      </c>
    </row>
    <row r="16" spans="1:22" x14ac:dyDescent="0.25">
      <c r="A16" t="s">
        <v>123</v>
      </c>
      <c r="B16" t="s">
        <v>124</v>
      </c>
      <c r="C16" s="1">
        <v>41395</v>
      </c>
      <c r="D16" t="s">
        <v>23</v>
      </c>
      <c r="E16">
        <v>17</v>
      </c>
      <c r="F16">
        <v>473930</v>
      </c>
      <c r="G16">
        <v>9530944</v>
      </c>
      <c r="H16" t="s">
        <v>107</v>
      </c>
      <c r="I16">
        <v>1</v>
      </c>
      <c r="J16">
        <f>IF(ISNUMBER(VALUE(SUBSTITUTE(Tabla1[[#This Row],[CANTIDAD]]," lts", ""))),VALUE(SUBSTITUTE(Tabla1[[#This Row],[CANTIDAD]]," lts","")),0)</f>
        <v>1</v>
      </c>
      <c r="K16" t="s">
        <v>25</v>
      </c>
      <c r="L16">
        <v>2000</v>
      </c>
      <c r="M16" t="s">
        <v>35</v>
      </c>
      <c r="N16" t="s">
        <v>27</v>
      </c>
      <c r="O16">
        <v>-81.234923608925456</v>
      </c>
      <c r="P16">
        <v>-4.243583158340293</v>
      </c>
      <c r="Q16" t="s">
        <v>125</v>
      </c>
      <c r="R16" t="s">
        <v>126</v>
      </c>
      <c r="S16">
        <v>84</v>
      </c>
      <c r="T16" t="s">
        <v>127</v>
      </c>
      <c r="U16" t="s">
        <v>128</v>
      </c>
      <c r="V16" t="s">
        <v>129</v>
      </c>
    </row>
    <row r="17" spans="1:22" x14ac:dyDescent="0.25">
      <c r="A17" t="s">
        <v>123</v>
      </c>
      <c r="B17" t="s">
        <v>124</v>
      </c>
      <c r="C17" s="1">
        <v>41731</v>
      </c>
      <c r="D17" t="s">
        <v>23</v>
      </c>
      <c r="E17">
        <v>17</v>
      </c>
      <c r="F17">
        <v>462394</v>
      </c>
      <c r="G17">
        <v>9507000</v>
      </c>
      <c r="H17" t="s">
        <v>107</v>
      </c>
      <c r="I17">
        <v>9</v>
      </c>
      <c r="J17">
        <f>IF(ISNUMBER(VALUE(SUBSTITUTE(Tabla1[[#This Row],[CANTIDAD]]," lts", ""))),VALUE(SUBSTITUTE(Tabla1[[#This Row],[CANTIDAD]]," lts","")),0)</f>
        <v>9</v>
      </c>
      <c r="K17" t="s">
        <v>25</v>
      </c>
      <c r="L17">
        <v>200</v>
      </c>
      <c r="M17" t="s">
        <v>35</v>
      </c>
      <c r="N17" t="s">
        <v>27</v>
      </c>
      <c r="O17">
        <v>-81.338973355353843</v>
      </c>
      <c r="P17">
        <v>-4.4601570252539107</v>
      </c>
      <c r="Q17" t="s">
        <v>130</v>
      </c>
      <c r="R17" t="s">
        <v>131</v>
      </c>
      <c r="S17">
        <v>87</v>
      </c>
      <c r="T17" t="s">
        <v>132</v>
      </c>
      <c r="U17" t="s">
        <v>133</v>
      </c>
      <c r="V17" t="s">
        <v>134</v>
      </c>
    </row>
    <row r="18" spans="1:22" x14ac:dyDescent="0.25">
      <c r="A18" t="s">
        <v>123</v>
      </c>
      <c r="B18" t="s">
        <v>124</v>
      </c>
      <c r="C18" s="1">
        <v>41890</v>
      </c>
      <c r="D18" t="s">
        <v>23</v>
      </c>
      <c r="E18">
        <v>17</v>
      </c>
      <c r="F18">
        <v>464391</v>
      </c>
      <c r="G18">
        <v>9490321</v>
      </c>
      <c r="H18" t="s">
        <v>107</v>
      </c>
      <c r="I18">
        <v>1.7</v>
      </c>
      <c r="J18">
        <f>IF(ISNUMBER(VALUE(SUBSTITUTE(Tabla1[[#This Row],[CANTIDAD]]," lts", ""))),VALUE(SUBSTITUTE(Tabla1[[#This Row],[CANTIDAD]]," lts","")),0)</f>
        <v>1.7</v>
      </c>
      <c r="K18" t="s">
        <v>25</v>
      </c>
      <c r="L18">
        <v>600</v>
      </c>
      <c r="M18" t="s">
        <v>35</v>
      </c>
      <c r="N18" t="s">
        <v>27</v>
      </c>
      <c r="O18">
        <v>-81.321039587234424</v>
      </c>
      <c r="P18">
        <v>-4.611053401247224</v>
      </c>
      <c r="Q18" t="s">
        <v>135</v>
      </c>
      <c r="R18" t="s">
        <v>136</v>
      </c>
      <c r="S18">
        <v>89</v>
      </c>
      <c r="T18" t="s">
        <v>137</v>
      </c>
      <c r="U18" t="s">
        <v>138</v>
      </c>
      <c r="V18" t="s">
        <v>139</v>
      </c>
    </row>
    <row r="19" spans="1:22" x14ac:dyDescent="0.25">
      <c r="A19" t="s">
        <v>123</v>
      </c>
      <c r="B19" t="s">
        <v>124</v>
      </c>
      <c r="C19" s="1">
        <v>42821</v>
      </c>
      <c r="D19" t="s">
        <v>23</v>
      </c>
      <c r="E19">
        <v>17</v>
      </c>
      <c r="F19">
        <v>467580</v>
      </c>
      <c r="G19">
        <v>9507435</v>
      </c>
      <c r="H19" t="s">
        <v>140</v>
      </c>
      <c r="I19">
        <v>2</v>
      </c>
      <c r="J19">
        <f>IF(ISNUMBER(VALUE(SUBSTITUTE(Tabla1[[#This Row],[CANTIDAD]]," lts", ""))),VALUE(SUBSTITUTE(Tabla1[[#This Row],[CANTIDAD]]," lts","")),0)</f>
        <v>2</v>
      </c>
      <c r="K19" t="s">
        <v>25</v>
      </c>
      <c r="L19">
        <v>180</v>
      </c>
      <c r="M19" t="s">
        <v>141</v>
      </c>
      <c r="N19" t="s">
        <v>27</v>
      </c>
      <c r="O19">
        <v>-81.292226623224508</v>
      </c>
      <c r="P19">
        <v>-4.4562418309963316</v>
      </c>
      <c r="Q19" t="s">
        <v>142</v>
      </c>
      <c r="R19" t="s">
        <v>143</v>
      </c>
      <c r="S19">
        <v>93</v>
      </c>
      <c r="T19" t="s">
        <v>144</v>
      </c>
      <c r="U19" t="s">
        <v>145</v>
      </c>
      <c r="V19" t="s">
        <v>146</v>
      </c>
    </row>
    <row r="20" spans="1:22" x14ac:dyDescent="0.25">
      <c r="A20" t="s">
        <v>123</v>
      </c>
      <c r="B20" t="s">
        <v>124</v>
      </c>
      <c r="C20" s="1">
        <v>42927</v>
      </c>
      <c r="D20" t="s">
        <v>23</v>
      </c>
      <c r="E20">
        <v>17</v>
      </c>
      <c r="F20">
        <v>469850</v>
      </c>
      <c r="G20">
        <v>9522559</v>
      </c>
      <c r="H20" t="s">
        <v>107</v>
      </c>
      <c r="I20">
        <v>1.5</v>
      </c>
      <c r="J20">
        <f>IF(ISNUMBER(VALUE(SUBSTITUTE(Tabla1[[#This Row],[CANTIDAD]]," lts", ""))),VALUE(SUBSTITUTE(Tabla1[[#This Row],[CANTIDAD]]," lts","")),0)</f>
        <v>1.5</v>
      </c>
      <c r="K20" t="s">
        <v>25</v>
      </c>
      <c r="L20">
        <v>2385</v>
      </c>
      <c r="M20" t="s">
        <v>35</v>
      </c>
      <c r="N20" t="s">
        <v>27</v>
      </c>
      <c r="O20">
        <v>-81.271716050800279</v>
      </c>
      <c r="P20">
        <v>-4.319427704081682</v>
      </c>
      <c r="Q20" t="s">
        <v>147</v>
      </c>
      <c r="R20" t="s">
        <v>148</v>
      </c>
      <c r="S20">
        <v>95</v>
      </c>
      <c r="T20" t="s">
        <v>149</v>
      </c>
      <c r="U20" t="s">
        <v>150</v>
      </c>
      <c r="V20" t="s">
        <v>151</v>
      </c>
    </row>
    <row r="21" spans="1:22" x14ac:dyDescent="0.25">
      <c r="A21" t="s">
        <v>123</v>
      </c>
      <c r="B21" t="s">
        <v>124</v>
      </c>
      <c r="C21" s="1">
        <v>43431</v>
      </c>
      <c r="D21" t="s">
        <v>23</v>
      </c>
      <c r="E21">
        <v>17</v>
      </c>
      <c r="F21">
        <v>464539</v>
      </c>
      <c r="G21">
        <v>9507473</v>
      </c>
      <c r="H21" t="s">
        <v>152</v>
      </c>
      <c r="I21">
        <v>0.23</v>
      </c>
      <c r="J21">
        <f>IF(ISNUMBER(VALUE(SUBSTITUTE(Tabla1[[#This Row],[CANTIDAD]]," lts", ""))),VALUE(SUBSTITUTE(Tabla1[[#This Row],[CANTIDAD]]," lts","")),0)</f>
        <v>0.23</v>
      </c>
      <c r="K21" t="s">
        <v>25</v>
      </c>
      <c r="L21">
        <v>0</v>
      </c>
      <c r="M21" t="s">
        <v>35</v>
      </c>
      <c r="N21" t="s">
        <v>27</v>
      </c>
      <c r="O21">
        <v>-81.319637092451771</v>
      </c>
      <c r="P21">
        <v>-4.4558866458348492</v>
      </c>
      <c r="Q21" t="s">
        <v>153</v>
      </c>
      <c r="R21" t="s">
        <v>154</v>
      </c>
      <c r="S21">
        <v>100</v>
      </c>
      <c r="T21" t="s">
        <v>155</v>
      </c>
      <c r="U21" t="s">
        <v>156</v>
      </c>
      <c r="V21" t="s">
        <v>157</v>
      </c>
    </row>
    <row r="22" spans="1:22" x14ac:dyDescent="0.25">
      <c r="A22" t="s">
        <v>123</v>
      </c>
      <c r="B22" t="s">
        <v>124</v>
      </c>
      <c r="C22" s="1">
        <v>43488</v>
      </c>
      <c r="D22" t="s">
        <v>23</v>
      </c>
      <c r="E22">
        <v>17</v>
      </c>
      <c r="F22">
        <v>464773.46</v>
      </c>
      <c r="G22">
        <v>9522855.4499999993</v>
      </c>
      <c r="H22" t="s">
        <v>159</v>
      </c>
      <c r="I22">
        <v>0</v>
      </c>
      <c r="J22">
        <f>IF(ISNUMBER(VALUE(SUBSTITUTE(Tabla1[[#This Row],[CANTIDAD]]," lts", ""))),VALUE(SUBSTITUTE(Tabla1[[#This Row],[CANTIDAD]]," lts","")),0)</f>
        <v>0</v>
      </c>
      <c r="K22">
        <v>0</v>
      </c>
      <c r="L22">
        <v>0</v>
      </c>
      <c r="M22" t="s">
        <v>158</v>
      </c>
      <c r="N22" t="s">
        <v>27</v>
      </c>
      <c r="O22">
        <v>-81.317464990626448</v>
      </c>
      <c r="P22">
        <v>-4.3167280372559533</v>
      </c>
      <c r="Q22" t="s">
        <v>160</v>
      </c>
      <c r="R22" t="s">
        <v>161</v>
      </c>
      <c r="S22">
        <v>103</v>
      </c>
      <c r="T22" t="s">
        <v>162</v>
      </c>
      <c r="U22" t="s">
        <v>163</v>
      </c>
      <c r="V22" t="s">
        <v>164</v>
      </c>
    </row>
    <row r="23" spans="1:22" x14ac:dyDescent="0.25">
      <c r="A23" t="s">
        <v>123</v>
      </c>
      <c r="B23" t="s">
        <v>124</v>
      </c>
      <c r="C23" s="1">
        <v>43562</v>
      </c>
      <c r="D23" t="s">
        <v>23</v>
      </c>
      <c r="E23">
        <v>17</v>
      </c>
      <c r="F23">
        <v>465361</v>
      </c>
      <c r="G23">
        <v>9489188</v>
      </c>
      <c r="H23" t="s">
        <v>107</v>
      </c>
      <c r="I23">
        <v>0.4</v>
      </c>
      <c r="J23">
        <f>IF(ISNUMBER(VALUE(SUBSTITUTE(Tabla1[[#This Row],[CANTIDAD]]," lts", ""))),VALUE(SUBSTITUTE(Tabla1[[#This Row],[CANTIDAD]]," lts","")),0)</f>
        <v>0.4</v>
      </c>
      <c r="K23" t="s">
        <v>82</v>
      </c>
      <c r="L23">
        <v>80</v>
      </c>
      <c r="M23" t="s">
        <v>35</v>
      </c>
      <c r="N23" t="s">
        <v>27</v>
      </c>
      <c r="O23">
        <v>-81.312298941034584</v>
      </c>
      <c r="P23">
        <v>-4.6213070866700523</v>
      </c>
      <c r="Q23" t="s">
        <v>165</v>
      </c>
      <c r="R23" t="s">
        <v>166</v>
      </c>
      <c r="S23">
        <v>110</v>
      </c>
      <c r="T23" t="s">
        <v>167</v>
      </c>
      <c r="U23" t="s">
        <v>168</v>
      </c>
      <c r="V23" t="s">
        <v>169</v>
      </c>
    </row>
    <row r="24" spans="1:22" x14ac:dyDescent="0.25">
      <c r="A24" t="s">
        <v>123</v>
      </c>
      <c r="B24" t="s">
        <v>124</v>
      </c>
      <c r="C24" s="1">
        <v>43573</v>
      </c>
      <c r="D24" t="s">
        <v>23</v>
      </c>
      <c r="E24">
        <v>17</v>
      </c>
      <c r="F24">
        <v>471108</v>
      </c>
      <c r="G24">
        <v>9526812</v>
      </c>
      <c r="H24" t="s">
        <v>107</v>
      </c>
      <c r="I24">
        <v>0.3</v>
      </c>
      <c r="J24">
        <f>IF(ISNUMBER(VALUE(SUBSTITUTE(Tabla1[[#This Row],[CANTIDAD]]," lts", ""))),VALUE(SUBSTITUTE(Tabla1[[#This Row],[CANTIDAD]]," lts","")),0)</f>
        <v>0.3</v>
      </c>
      <c r="K24" t="s">
        <v>82</v>
      </c>
      <c r="L24">
        <v>0</v>
      </c>
      <c r="M24" t="s">
        <v>35</v>
      </c>
      <c r="N24" t="s">
        <v>27</v>
      </c>
      <c r="O24">
        <v>-81.260365798189113</v>
      </c>
      <c r="P24">
        <v>-4.2809560314021642</v>
      </c>
      <c r="Q24" t="s">
        <v>170</v>
      </c>
      <c r="R24" t="s">
        <v>171</v>
      </c>
      <c r="S24">
        <v>111</v>
      </c>
      <c r="T24" t="s">
        <v>172</v>
      </c>
      <c r="U24" t="s">
        <v>173</v>
      </c>
      <c r="V24" t="s">
        <v>174</v>
      </c>
    </row>
    <row r="25" spans="1:22" x14ac:dyDescent="0.25">
      <c r="A25" t="s">
        <v>123</v>
      </c>
      <c r="B25" t="s">
        <v>124</v>
      </c>
      <c r="C25" s="1">
        <v>43607</v>
      </c>
      <c r="D25" t="s">
        <v>23</v>
      </c>
      <c r="E25">
        <v>17</v>
      </c>
      <c r="F25">
        <v>468031</v>
      </c>
      <c r="G25">
        <v>9523414</v>
      </c>
      <c r="H25" t="s">
        <v>107</v>
      </c>
      <c r="I25">
        <v>7.0000000000000007E-2</v>
      </c>
      <c r="J25">
        <f>IF(ISNUMBER(VALUE(SUBSTITUTE(Tabla1[[#This Row],[CANTIDAD]]," lts", ""))),VALUE(SUBSTITUTE(Tabla1[[#This Row],[CANTIDAD]]," lts","")),0)</f>
        <v>7.0000000000000007E-2</v>
      </c>
      <c r="K25" t="s">
        <v>82</v>
      </c>
      <c r="L25">
        <v>0</v>
      </c>
      <c r="M25" t="s">
        <v>35</v>
      </c>
      <c r="N25" t="s">
        <v>27</v>
      </c>
      <c r="O25">
        <v>-81.288106083771638</v>
      </c>
      <c r="P25">
        <v>-4.311686734102369</v>
      </c>
      <c r="Q25" t="s">
        <v>175</v>
      </c>
      <c r="R25" t="s">
        <v>176</v>
      </c>
      <c r="S25">
        <v>114</v>
      </c>
      <c r="T25" t="s">
        <v>177</v>
      </c>
      <c r="U25" t="s">
        <v>178</v>
      </c>
      <c r="V25" t="s">
        <v>179</v>
      </c>
    </row>
    <row r="26" spans="1:22" x14ac:dyDescent="0.25">
      <c r="A26" t="s">
        <v>123</v>
      </c>
      <c r="B26" t="s">
        <v>124</v>
      </c>
      <c r="C26" s="1">
        <v>43712</v>
      </c>
      <c r="D26" t="s">
        <v>23</v>
      </c>
      <c r="E26">
        <v>17</v>
      </c>
      <c r="F26">
        <v>459446</v>
      </c>
      <c r="G26">
        <v>9505998</v>
      </c>
      <c r="H26" t="s">
        <v>107</v>
      </c>
      <c r="I26">
        <v>3.7000000000000002E-3</v>
      </c>
      <c r="J26">
        <f>IF(ISNUMBER(VALUE(SUBSTITUTE(Tabla1[[#This Row],[CANTIDAD]]," lts", ""))),VALUE(SUBSTITUTE(Tabla1[[#This Row],[CANTIDAD]]," lts","")),0)</f>
        <v>3.7000000000000002E-3</v>
      </c>
      <c r="K26" t="s">
        <v>82</v>
      </c>
      <c r="L26">
        <v>0</v>
      </c>
      <c r="M26" t="s">
        <v>75</v>
      </c>
      <c r="N26" t="s">
        <v>27</v>
      </c>
      <c r="O26">
        <v>-81.365550202353532</v>
      </c>
      <c r="P26">
        <v>-4.4692089451754962</v>
      </c>
      <c r="Q26" t="s">
        <v>180</v>
      </c>
      <c r="R26" t="s">
        <v>181</v>
      </c>
      <c r="S26">
        <v>118</v>
      </c>
      <c r="T26" t="s">
        <v>182</v>
      </c>
      <c r="U26" t="s">
        <v>183</v>
      </c>
      <c r="V26" t="s">
        <v>184</v>
      </c>
    </row>
    <row r="27" spans="1:22" x14ac:dyDescent="0.25">
      <c r="A27" t="s">
        <v>123</v>
      </c>
      <c r="B27" t="s">
        <v>124</v>
      </c>
      <c r="C27" s="1">
        <v>43752</v>
      </c>
      <c r="D27" t="s">
        <v>23</v>
      </c>
      <c r="E27">
        <v>17</v>
      </c>
      <c r="F27">
        <v>469184</v>
      </c>
      <c r="G27">
        <v>9523643</v>
      </c>
      <c r="H27" t="s">
        <v>107</v>
      </c>
      <c r="I27">
        <v>0.8</v>
      </c>
      <c r="J27">
        <f>IF(ISNUMBER(VALUE(SUBSTITUTE(Tabla1[[#This Row],[CANTIDAD]]," lts", ""))),VALUE(SUBSTITUTE(Tabla1[[#This Row],[CANTIDAD]]," lts","")),0)</f>
        <v>0.8</v>
      </c>
      <c r="K27" t="s">
        <v>82</v>
      </c>
      <c r="L27">
        <v>1</v>
      </c>
      <c r="M27" t="s">
        <v>26</v>
      </c>
      <c r="N27" t="s">
        <v>27</v>
      </c>
      <c r="O27">
        <v>-81.277714527309499</v>
      </c>
      <c r="P27">
        <v>-4.3096189135573519</v>
      </c>
      <c r="Q27" t="s">
        <v>185</v>
      </c>
      <c r="R27" t="s">
        <v>186</v>
      </c>
      <c r="S27">
        <v>120</v>
      </c>
      <c r="T27" t="s">
        <v>187</v>
      </c>
      <c r="U27" t="s">
        <v>188</v>
      </c>
      <c r="V27" t="s">
        <v>189</v>
      </c>
    </row>
    <row r="28" spans="1:22" x14ac:dyDescent="0.25">
      <c r="A28" t="s">
        <v>123</v>
      </c>
      <c r="B28" t="s">
        <v>124</v>
      </c>
      <c r="C28" s="1">
        <v>43908</v>
      </c>
      <c r="D28" t="s">
        <v>23</v>
      </c>
      <c r="E28">
        <v>17</v>
      </c>
      <c r="F28">
        <v>473930</v>
      </c>
      <c r="G28">
        <v>9530944</v>
      </c>
      <c r="H28" t="s">
        <v>191</v>
      </c>
      <c r="I28" t="s">
        <v>192</v>
      </c>
      <c r="J28">
        <f>IF(ISNUMBER(VALUE(SUBSTITUTE(Tabla1[[#This Row],[CANTIDAD]]," lts", ""))),VALUE(SUBSTITUTE(Tabla1[[#This Row],[CANTIDAD]]," lts","")),0)</f>
        <v>0</v>
      </c>
      <c r="K28" t="s">
        <v>82</v>
      </c>
      <c r="L28" t="s">
        <v>193</v>
      </c>
      <c r="M28" t="s">
        <v>194</v>
      </c>
      <c r="N28" t="s">
        <v>27</v>
      </c>
      <c r="O28">
        <v>-81.234923608925456</v>
      </c>
      <c r="P28">
        <v>-4.243583158340293</v>
      </c>
      <c r="Q28" t="s">
        <v>195</v>
      </c>
      <c r="R28" t="s">
        <v>126</v>
      </c>
      <c r="S28">
        <v>129</v>
      </c>
      <c r="T28" t="s">
        <v>127</v>
      </c>
      <c r="U28" t="s">
        <v>128</v>
      </c>
      <c r="V28" t="s">
        <v>129</v>
      </c>
    </row>
    <row r="29" spans="1:22" x14ac:dyDescent="0.25">
      <c r="A29" t="s">
        <v>123</v>
      </c>
      <c r="B29" t="s">
        <v>124</v>
      </c>
      <c r="C29" s="1">
        <v>44060</v>
      </c>
      <c r="D29" t="s">
        <v>23</v>
      </c>
      <c r="E29">
        <v>17</v>
      </c>
      <c r="F29">
        <v>465773</v>
      </c>
      <c r="G29">
        <v>9490439</v>
      </c>
      <c r="H29" t="s">
        <v>152</v>
      </c>
      <c r="I29">
        <v>0</v>
      </c>
      <c r="J29">
        <f>IF(ISNUMBER(VALUE(SUBSTITUTE(Tabla1[[#This Row],[CANTIDAD]]," lts", ""))),VALUE(SUBSTITUTE(Tabla1[[#This Row],[CANTIDAD]]," lts","")),0)</f>
        <v>0</v>
      </c>
      <c r="K29">
        <v>0</v>
      </c>
      <c r="L29" t="s">
        <v>196</v>
      </c>
      <c r="M29" t="s">
        <v>35</v>
      </c>
      <c r="N29" t="s">
        <v>27</v>
      </c>
      <c r="O29">
        <v>-81.308579572188094</v>
      </c>
      <c r="P29">
        <v>-4.6099914255326784</v>
      </c>
      <c r="Q29" t="s">
        <v>197</v>
      </c>
      <c r="R29" t="s">
        <v>198</v>
      </c>
      <c r="S29">
        <v>131</v>
      </c>
      <c r="T29" t="s">
        <v>199</v>
      </c>
      <c r="U29" t="s">
        <v>200</v>
      </c>
      <c r="V29" t="s">
        <v>201</v>
      </c>
    </row>
    <row r="30" spans="1:22" x14ac:dyDescent="0.25">
      <c r="A30" t="s">
        <v>123</v>
      </c>
      <c r="B30" t="s">
        <v>124</v>
      </c>
      <c r="C30" s="1">
        <v>44205</v>
      </c>
      <c r="D30" t="s">
        <v>23</v>
      </c>
      <c r="E30">
        <v>17</v>
      </c>
      <c r="F30">
        <v>464126</v>
      </c>
      <c r="G30">
        <v>9479164</v>
      </c>
      <c r="H30" t="s">
        <v>152</v>
      </c>
      <c r="I30">
        <v>0</v>
      </c>
      <c r="J30">
        <f>IF(ISNUMBER(VALUE(SUBSTITUTE(Tabla1[[#This Row],[CANTIDAD]]," lts", ""))),VALUE(SUBSTITUTE(Tabla1[[#This Row],[CANTIDAD]]," lts","")),0)</f>
        <v>0</v>
      </c>
      <c r="K30">
        <v>0</v>
      </c>
      <c r="L30">
        <v>0</v>
      </c>
      <c r="M30" t="s">
        <v>35</v>
      </c>
      <c r="N30" t="s">
        <v>27</v>
      </c>
      <c r="O30">
        <v>-81.323474870500618</v>
      </c>
      <c r="P30">
        <v>-4.7119848824865596</v>
      </c>
      <c r="Q30" t="s">
        <v>202</v>
      </c>
      <c r="R30" t="s">
        <v>203</v>
      </c>
      <c r="S30">
        <v>136</v>
      </c>
      <c r="T30" t="s">
        <v>204</v>
      </c>
      <c r="U30" t="s">
        <v>205</v>
      </c>
      <c r="V30" t="s">
        <v>206</v>
      </c>
    </row>
    <row r="31" spans="1:22" x14ac:dyDescent="0.25">
      <c r="A31" t="s">
        <v>123</v>
      </c>
      <c r="B31" t="s">
        <v>124</v>
      </c>
      <c r="C31" s="1">
        <v>44232</v>
      </c>
      <c r="D31" t="s">
        <v>23</v>
      </c>
      <c r="E31">
        <v>17</v>
      </c>
      <c r="F31">
        <v>470125</v>
      </c>
      <c r="G31">
        <v>9526197</v>
      </c>
      <c r="H31" t="s">
        <v>107</v>
      </c>
      <c r="I31">
        <v>2E-3</v>
      </c>
      <c r="J31">
        <f>IF(ISNUMBER(VALUE(SUBSTITUTE(Tabla1[[#This Row],[CANTIDAD]]," lts", ""))),VALUE(SUBSTITUTE(Tabla1[[#This Row],[CANTIDAD]]," lts","")),0)</f>
        <v>2E-3</v>
      </c>
      <c r="K31" t="s">
        <v>25</v>
      </c>
      <c r="L31">
        <v>12</v>
      </c>
      <c r="M31" t="s">
        <v>35</v>
      </c>
      <c r="N31" t="s">
        <v>27</v>
      </c>
      <c r="O31">
        <v>-81.26922617150764</v>
      </c>
      <c r="P31">
        <v>-4.2865166878100274</v>
      </c>
      <c r="Q31" t="s">
        <v>207</v>
      </c>
      <c r="R31" t="s">
        <v>208</v>
      </c>
      <c r="S31">
        <v>139</v>
      </c>
      <c r="T31" t="s">
        <v>209</v>
      </c>
      <c r="U31" t="s">
        <v>210</v>
      </c>
      <c r="V31" t="s">
        <v>211</v>
      </c>
    </row>
    <row r="32" spans="1:22" x14ac:dyDescent="0.25">
      <c r="A32" t="s">
        <v>123</v>
      </c>
      <c r="B32" t="s">
        <v>124</v>
      </c>
      <c r="C32" s="1">
        <v>44250</v>
      </c>
      <c r="D32" t="s">
        <v>23</v>
      </c>
      <c r="E32">
        <v>17</v>
      </c>
      <c r="F32">
        <v>462924</v>
      </c>
      <c r="G32">
        <v>9478881</v>
      </c>
      <c r="H32" t="s">
        <v>107</v>
      </c>
      <c r="I32" t="s">
        <v>212</v>
      </c>
      <c r="J32">
        <f>IF(ISNUMBER(VALUE(SUBSTITUTE(Tabla1[[#This Row],[CANTIDAD]]," lts", ""))),VALUE(SUBSTITUTE(Tabla1[[#This Row],[CANTIDAD]]," lts","")),0)</f>
        <v>0</v>
      </c>
      <c r="K32" t="s">
        <v>82</v>
      </c>
      <c r="L32">
        <v>500</v>
      </c>
      <c r="M32" t="s">
        <v>35</v>
      </c>
      <c r="N32" t="s">
        <v>27</v>
      </c>
      <c r="O32">
        <v>-81.334314372241664</v>
      </c>
      <c r="P32">
        <v>-4.7145399271680031</v>
      </c>
      <c r="Q32" t="s">
        <v>213</v>
      </c>
      <c r="R32" t="s">
        <v>214</v>
      </c>
      <c r="S32">
        <v>142</v>
      </c>
      <c r="T32" t="s">
        <v>215</v>
      </c>
      <c r="U32" t="s">
        <v>216</v>
      </c>
      <c r="V32" t="s">
        <v>217</v>
      </c>
    </row>
    <row r="33" spans="1:22" x14ac:dyDescent="0.25">
      <c r="A33" t="s">
        <v>123</v>
      </c>
      <c r="B33" t="s">
        <v>124</v>
      </c>
      <c r="C33" s="1">
        <v>44314</v>
      </c>
      <c r="D33" t="s">
        <v>23</v>
      </c>
      <c r="E33">
        <v>17</v>
      </c>
      <c r="F33">
        <v>469758</v>
      </c>
      <c r="G33">
        <v>9525856</v>
      </c>
      <c r="H33" t="s">
        <v>107</v>
      </c>
      <c r="I33" t="s">
        <v>218</v>
      </c>
      <c r="J33">
        <f>IF(ISNUMBER(VALUE(SUBSTITUTE(Tabla1[[#This Row],[CANTIDAD]]," lts", ""))),VALUE(SUBSTITUTE(Tabla1[[#This Row],[CANTIDAD]]," lts","")),0)</f>
        <v>0</v>
      </c>
      <c r="K33" t="s">
        <v>82</v>
      </c>
      <c r="L33">
        <v>3000</v>
      </c>
      <c r="M33" t="s">
        <v>35</v>
      </c>
      <c r="N33" t="s">
        <v>27</v>
      </c>
      <c r="O33">
        <v>-81.272534553322402</v>
      </c>
      <c r="P33">
        <v>-4.2896004402035528</v>
      </c>
      <c r="Q33" t="s">
        <v>219</v>
      </c>
      <c r="R33" t="s">
        <v>220</v>
      </c>
      <c r="S33">
        <v>145</v>
      </c>
      <c r="T33" t="s">
        <v>221</v>
      </c>
      <c r="U33" t="s">
        <v>222</v>
      </c>
      <c r="V33" t="s">
        <v>223</v>
      </c>
    </row>
    <row r="34" spans="1:22" x14ac:dyDescent="0.25">
      <c r="A34" t="s">
        <v>123</v>
      </c>
      <c r="B34" t="s">
        <v>124</v>
      </c>
      <c r="C34" s="1">
        <v>44333</v>
      </c>
      <c r="D34" t="s">
        <v>23</v>
      </c>
      <c r="E34">
        <v>17</v>
      </c>
      <c r="F34">
        <v>463418</v>
      </c>
      <c r="G34">
        <v>9478896</v>
      </c>
      <c r="H34" t="s">
        <v>107</v>
      </c>
      <c r="I34" t="s">
        <v>190</v>
      </c>
      <c r="J34">
        <f>IF(ISNUMBER(VALUE(SUBSTITUTE(Tabla1[[#This Row],[CANTIDAD]]," lts", ""))),VALUE(SUBSTITUTE(Tabla1[[#This Row],[CANTIDAD]]," lts","")),0)</f>
        <v>0</v>
      </c>
      <c r="K34" t="s">
        <v>82</v>
      </c>
      <c r="L34">
        <v>6000</v>
      </c>
      <c r="M34" t="s">
        <v>35</v>
      </c>
      <c r="N34" t="s">
        <v>27</v>
      </c>
      <c r="O34">
        <v>-81.32985995938202</v>
      </c>
      <c r="P34">
        <v>-4.7144063579083184</v>
      </c>
      <c r="Q34" t="s">
        <v>224</v>
      </c>
      <c r="R34" t="s">
        <v>225</v>
      </c>
      <c r="S34">
        <v>146</v>
      </c>
      <c r="T34" t="s">
        <v>226</v>
      </c>
      <c r="U34" t="s">
        <v>227</v>
      </c>
      <c r="V34" t="s">
        <v>228</v>
      </c>
    </row>
    <row r="35" spans="1:22" x14ac:dyDescent="0.25">
      <c r="A35" t="s">
        <v>123</v>
      </c>
      <c r="B35" t="s">
        <v>124</v>
      </c>
      <c r="C35" s="1">
        <v>44502</v>
      </c>
      <c r="D35" t="s">
        <v>23</v>
      </c>
      <c r="E35">
        <v>17</v>
      </c>
      <c r="F35">
        <v>466182</v>
      </c>
      <c r="G35">
        <v>9525411</v>
      </c>
      <c r="H35" t="s">
        <v>107</v>
      </c>
      <c r="I35" t="s">
        <v>229</v>
      </c>
      <c r="J35">
        <f>IF(ISNUMBER(VALUE(SUBSTITUTE(Tabla1[[#This Row],[CANTIDAD]]," lts", ""))),VALUE(SUBSTITUTE(Tabla1[[#This Row],[CANTIDAD]]," lts","")),0)</f>
        <v>0</v>
      </c>
      <c r="K35" t="s">
        <v>82</v>
      </c>
      <c r="L35">
        <v>4000</v>
      </c>
      <c r="M35" t="s">
        <v>35</v>
      </c>
      <c r="N35" t="s">
        <v>27</v>
      </c>
      <c r="O35">
        <v>-81.304762019243626</v>
      </c>
      <c r="P35">
        <v>-4.2936140205102102</v>
      </c>
      <c r="Q35" t="s">
        <v>230</v>
      </c>
      <c r="R35" t="s">
        <v>231</v>
      </c>
      <c r="S35">
        <v>147</v>
      </c>
      <c r="T35" t="s">
        <v>232</v>
      </c>
      <c r="U35" t="s">
        <v>233</v>
      </c>
      <c r="V35" t="s">
        <v>234</v>
      </c>
    </row>
    <row r="36" spans="1:22" x14ac:dyDescent="0.25">
      <c r="A36" t="s">
        <v>123</v>
      </c>
      <c r="B36" t="s">
        <v>124</v>
      </c>
      <c r="C36" s="1">
        <v>44504</v>
      </c>
      <c r="D36" t="s">
        <v>23</v>
      </c>
      <c r="E36">
        <v>17</v>
      </c>
      <c r="F36">
        <v>467385</v>
      </c>
      <c r="G36">
        <v>9509078</v>
      </c>
      <c r="H36" t="s">
        <v>107</v>
      </c>
      <c r="I36">
        <v>2642</v>
      </c>
      <c r="J36">
        <f>IF(ISNUMBER(VALUE(SUBSTITUTE(Tabla1[[#This Row],[CANTIDAD]]," lts", ""))),VALUE(SUBSTITUTE(Tabla1[[#This Row],[CANTIDAD]]," lts","")),0)</f>
        <v>2642</v>
      </c>
      <c r="K36" t="s">
        <v>82</v>
      </c>
      <c r="L36">
        <v>1000</v>
      </c>
      <c r="M36" t="s">
        <v>35</v>
      </c>
      <c r="N36" t="s">
        <v>27</v>
      </c>
      <c r="O36">
        <v>-81.293978399843908</v>
      </c>
      <c r="P36">
        <v>-4.4413774884625212</v>
      </c>
      <c r="Q36" t="s">
        <v>235</v>
      </c>
      <c r="R36" t="s">
        <v>236</v>
      </c>
      <c r="S36">
        <v>148</v>
      </c>
      <c r="T36" t="s">
        <v>237</v>
      </c>
      <c r="U36" t="s">
        <v>238</v>
      </c>
      <c r="V36" t="s">
        <v>239</v>
      </c>
    </row>
    <row r="37" spans="1:22" x14ac:dyDescent="0.25">
      <c r="A37" t="s">
        <v>123</v>
      </c>
      <c r="B37" t="s">
        <v>124</v>
      </c>
      <c r="C37" s="1">
        <v>44505</v>
      </c>
      <c r="D37" t="s">
        <v>23</v>
      </c>
      <c r="E37">
        <v>17</v>
      </c>
      <c r="F37">
        <v>464661</v>
      </c>
      <c r="G37">
        <v>9544321</v>
      </c>
      <c r="H37" t="s">
        <v>107</v>
      </c>
      <c r="I37">
        <v>1566</v>
      </c>
      <c r="J37">
        <f>IF(ISNUMBER(VALUE(SUBSTITUTE(Tabla1[[#This Row],[CANTIDAD]]," lts", ""))),VALUE(SUBSTITUTE(Tabla1[[#This Row],[CANTIDAD]]," lts","")),0)</f>
        <v>1566</v>
      </c>
      <c r="K37" t="s">
        <v>82</v>
      </c>
      <c r="L37">
        <v>60000</v>
      </c>
      <c r="M37" t="s">
        <v>35</v>
      </c>
      <c r="N37" t="s">
        <v>27</v>
      </c>
      <c r="O37">
        <v>-81.318399380482788</v>
      </c>
      <c r="P37">
        <v>-4.1225356267629651</v>
      </c>
      <c r="Q37" t="s">
        <v>240</v>
      </c>
      <c r="R37" t="s">
        <v>241</v>
      </c>
      <c r="S37">
        <v>149</v>
      </c>
      <c r="T37" t="s">
        <v>242</v>
      </c>
      <c r="U37" t="s">
        <v>243</v>
      </c>
      <c r="V37" t="s">
        <v>244</v>
      </c>
    </row>
    <row r="38" spans="1:22" x14ac:dyDescent="0.25">
      <c r="A38" t="s">
        <v>123</v>
      </c>
      <c r="B38" t="s">
        <v>124</v>
      </c>
      <c r="C38" s="1">
        <v>44610</v>
      </c>
      <c r="D38" t="s">
        <v>23</v>
      </c>
      <c r="E38">
        <v>17</v>
      </c>
      <c r="F38">
        <v>465913</v>
      </c>
      <c r="G38">
        <v>9491854</v>
      </c>
      <c r="H38" t="s">
        <v>152</v>
      </c>
      <c r="I38" t="s">
        <v>245</v>
      </c>
      <c r="J38">
        <f>IF(ISNUMBER(VALUE(SUBSTITUTE(Tabla1[[#This Row],[CANTIDAD]]," lts", ""))),VALUE(SUBSTITUTE(Tabla1[[#This Row],[CANTIDAD]]," lts","")),0)</f>
        <v>0</v>
      </c>
      <c r="K38" t="s">
        <v>82</v>
      </c>
      <c r="L38">
        <v>15000</v>
      </c>
      <c r="M38" t="s">
        <v>35</v>
      </c>
      <c r="N38" t="s">
        <v>27</v>
      </c>
      <c r="O38">
        <v>-81.307311897868786</v>
      </c>
      <c r="P38">
        <v>-4.5971910372403206</v>
      </c>
      <c r="Q38" t="s">
        <v>246</v>
      </c>
      <c r="R38" t="s">
        <v>247</v>
      </c>
      <c r="S38">
        <v>155</v>
      </c>
      <c r="T38" t="s">
        <v>248</v>
      </c>
      <c r="U38" t="s">
        <v>249</v>
      </c>
      <c r="V38" t="s">
        <v>250</v>
      </c>
    </row>
    <row r="39" spans="1:22" x14ac:dyDescent="0.25">
      <c r="A39" t="s">
        <v>123</v>
      </c>
      <c r="B39" t="s">
        <v>124</v>
      </c>
      <c r="C39" s="1">
        <v>44649</v>
      </c>
      <c r="D39" t="s">
        <v>23</v>
      </c>
      <c r="E39">
        <v>17</v>
      </c>
      <c r="F39">
        <v>464067</v>
      </c>
      <c r="G39">
        <v>9488068</v>
      </c>
      <c r="H39" t="s">
        <v>152</v>
      </c>
      <c r="I39">
        <v>0.93</v>
      </c>
      <c r="J39">
        <f>IF(ISNUMBER(VALUE(SUBSTITUTE(Tabla1[[#This Row],[CANTIDAD]]," lts", ""))),VALUE(SUBSTITUTE(Tabla1[[#This Row],[CANTIDAD]]," lts","")),0)</f>
        <v>0.93</v>
      </c>
      <c r="K39" t="s">
        <v>82</v>
      </c>
      <c r="L39">
        <v>35000</v>
      </c>
      <c r="M39" t="s">
        <v>35</v>
      </c>
      <c r="N39" t="s">
        <v>27</v>
      </c>
      <c r="O39">
        <v>-81.323969891851291</v>
      </c>
      <c r="P39">
        <v>-4.6314340160505454</v>
      </c>
      <c r="Q39" t="s">
        <v>251</v>
      </c>
      <c r="R39" t="s">
        <v>252</v>
      </c>
      <c r="S39">
        <v>157</v>
      </c>
      <c r="T39" t="s">
        <v>253</v>
      </c>
      <c r="U39" t="s">
        <v>254</v>
      </c>
      <c r="V39" t="s">
        <v>255</v>
      </c>
    </row>
    <row r="40" spans="1:22" x14ac:dyDescent="0.25">
      <c r="A40" t="s">
        <v>123</v>
      </c>
      <c r="B40" t="s">
        <v>124</v>
      </c>
      <c r="C40" s="1">
        <v>44744</v>
      </c>
      <c r="D40" t="s">
        <v>23</v>
      </c>
      <c r="E40">
        <v>17</v>
      </c>
      <c r="F40">
        <v>466181</v>
      </c>
      <c r="G40">
        <v>9525389</v>
      </c>
      <c r="H40" t="s">
        <v>152</v>
      </c>
      <c r="I40">
        <v>13</v>
      </c>
      <c r="J40">
        <f>IF(ISNUMBER(VALUE(SUBSTITUTE(Tabla1[[#This Row],[CANTIDAD]]," lts", ""))),VALUE(SUBSTITUTE(Tabla1[[#This Row],[CANTIDAD]]," lts","")),0)</f>
        <v>13</v>
      </c>
      <c r="K40" t="s">
        <v>25</v>
      </c>
      <c r="L40">
        <v>2000</v>
      </c>
      <c r="M40" t="s">
        <v>35</v>
      </c>
      <c r="N40" t="s">
        <v>27</v>
      </c>
      <c r="O40">
        <v>-81.304771109943175</v>
      </c>
      <c r="P40">
        <v>-4.2938130437709692</v>
      </c>
      <c r="Q40" t="s">
        <v>256</v>
      </c>
      <c r="R40" t="s">
        <v>257</v>
      </c>
      <c r="S40">
        <v>160</v>
      </c>
      <c r="T40" t="s">
        <v>258</v>
      </c>
      <c r="U40" t="s">
        <v>259</v>
      </c>
      <c r="V40" t="s">
        <v>260</v>
      </c>
    </row>
    <row r="41" spans="1:22" x14ac:dyDescent="0.25">
      <c r="A41" t="s">
        <v>123</v>
      </c>
      <c r="B41" t="s">
        <v>124</v>
      </c>
      <c r="C41" s="1">
        <v>44797</v>
      </c>
      <c r="D41" t="s">
        <v>23</v>
      </c>
      <c r="E41">
        <v>17</v>
      </c>
      <c r="F41">
        <v>469762</v>
      </c>
      <c r="G41">
        <v>9525855</v>
      </c>
      <c r="H41" t="s">
        <v>107</v>
      </c>
      <c r="I41" t="s">
        <v>261</v>
      </c>
      <c r="J41">
        <f>IF(ISNUMBER(VALUE(SUBSTITUTE(Tabla1[[#This Row],[CANTIDAD]]," lts", ""))),VALUE(SUBSTITUTE(Tabla1[[#This Row],[CANTIDAD]]," lts","")),0)</f>
        <v>0</v>
      </c>
      <c r="K41" t="s">
        <v>82</v>
      </c>
      <c r="L41">
        <v>5000</v>
      </c>
      <c r="M41" t="s">
        <v>35</v>
      </c>
      <c r="N41" t="s">
        <v>27</v>
      </c>
      <c r="O41">
        <v>-81.272498509643356</v>
      </c>
      <c r="P41">
        <v>-4.2896094997799441</v>
      </c>
      <c r="Q41" t="s">
        <v>262</v>
      </c>
      <c r="R41" t="s">
        <v>263</v>
      </c>
      <c r="S41">
        <v>161</v>
      </c>
      <c r="T41" t="s">
        <v>264</v>
      </c>
      <c r="U41" t="s">
        <v>265</v>
      </c>
      <c r="V41" t="s">
        <v>266</v>
      </c>
    </row>
    <row r="42" spans="1:22" x14ac:dyDescent="0.25">
      <c r="A42" t="s">
        <v>123</v>
      </c>
      <c r="B42" t="s">
        <v>124</v>
      </c>
      <c r="C42" s="1">
        <v>44841</v>
      </c>
      <c r="D42" t="s">
        <v>23</v>
      </c>
      <c r="E42">
        <v>17</v>
      </c>
      <c r="F42">
        <v>470376</v>
      </c>
      <c r="G42">
        <v>9524014</v>
      </c>
      <c r="H42" t="s">
        <v>107</v>
      </c>
      <c r="I42">
        <v>1.77</v>
      </c>
      <c r="J42">
        <f>IF(ISNUMBER(VALUE(SUBSTITUTE(Tabla1[[#This Row],[CANTIDAD]]," lts", ""))),VALUE(SUBSTITUTE(Tabla1[[#This Row],[CANTIDAD]]," lts","")),0)</f>
        <v>1.77</v>
      </c>
      <c r="K42" t="s">
        <v>82</v>
      </c>
      <c r="L42">
        <v>13400</v>
      </c>
      <c r="M42" t="s">
        <v>35</v>
      </c>
      <c r="N42" t="s">
        <v>27</v>
      </c>
      <c r="O42">
        <v>-81.266971104907327</v>
      </c>
      <c r="P42">
        <v>-4.306266438897687</v>
      </c>
      <c r="Q42" t="s">
        <v>267</v>
      </c>
      <c r="R42" t="s">
        <v>268</v>
      </c>
      <c r="S42">
        <v>163</v>
      </c>
      <c r="T42" t="s">
        <v>269</v>
      </c>
      <c r="U42" t="s">
        <v>270</v>
      </c>
      <c r="V42" t="s">
        <v>271</v>
      </c>
    </row>
    <row r="43" spans="1:22" x14ac:dyDescent="0.25">
      <c r="A43" t="s">
        <v>123</v>
      </c>
      <c r="B43" t="s">
        <v>124</v>
      </c>
      <c r="C43" s="1">
        <v>45156</v>
      </c>
      <c r="D43" t="s">
        <v>23</v>
      </c>
      <c r="E43">
        <v>17</v>
      </c>
      <c r="F43">
        <v>467586</v>
      </c>
      <c r="G43">
        <v>9524426</v>
      </c>
      <c r="H43" t="s">
        <v>107</v>
      </c>
      <c r="I43">
        <v>0.5</v>
      </c>
      <c r="J43">
        <f>IF(ISNUMBER(VALUE(SUBSTITUTE(Tabla1[[#This Row],[CANTIDAD]]," lts", ""))),VALUE(SUBSTITUTE(Tabla1[[#This Row],[CANTIDAD]]," lts","")),0)</f>
        <v>0.5</v>
      </c>
      <c r="K43" t="s">
        <v>82</v>
      </c>
      <c r="L43">
        <v>200</v>
      </c>
      <c r="M43" t="s">
        <v>35</v>
      </c>
      <c r="N43" t="s">
        <v>27</v>
      </c>
      <c r="O43">
        <v>-81.292112917006804</v>
      </c>
      <c r="P43">
        <v>-4.3025299584595551</v>
      </c>
      <c r="Q43" t="s">
        <v>272</v>
      </c>
      <c r="R43" t="s">
        <v>273</v>
      </c>
      <c r="S43">
        <v>172</v>
      </c>
      <c r="T43" t="s">
        <v>274</v>
      </c>
      <c r="U43" t="s">
        <v>275</v>
      </c>
      <c r="V43" t="s">
        <v>276</v>
      </c>
    </row>
    <row r="44" spans="1:22" x14ac:dyDescent="0.25">
      <c r="A44" t="s">
        <v>277</v>
      </c>
      <c r="B44" t="s">
        <v>278</v>
      </c>
      <c r="C44" s="1">
        <v>41772</v>
      </c>
      <c r="D44" t="s">
        <v>23</v>
      </c>
      <c r="E44">
        <v>17</v>
      </c>
      <c r="F44">
        <v>475261</v>
      </c>
      <c r="G44">
        <v>9530370</v>
      </c>
      <c r="H44" t="s">
        <v>107</v>
      </c>
      <c r="I44">
        <v>0</v>
      </c>
      <c r="J44">
        <f>IF(ISNUMBER(VALUE(SUBSTITUTE(Tabla1[[#This Row],[CANTIDAD]]," lts", ""))),VALUE(SUBSTITUTE(Tabla1[[#This Row],[CANTIDAD]]," lts","")),0)</f>
        <v>0</v>
      </c>
      <c r="K44">
        <v>0</v>
      </c>
      <c r="L44">
        <v>0</v>
      </c>
      <c r="M44" t="s">
        <v>54</v>
      </c>
      <c r="N44" t="s">
        <v>27</v>
      </c>
      <c r="O44">
        <v>-81.222931171803154</v>
      </c>
      <c r="P44">
        <v>-4.2487795510293722</v>
      </c>
      <c r="Q44" t="s">
        <v>279</v>
      </c>
      <c r="R44" t="s">
        <v>280</v>
      </c>
      <c r="S44">
        <v>258</v>
      </c>
      <c r="T44" t="s">
        <v>281</v>
      </c>
      <c r="U44" t="s">
        <v>282</v>
      </c>
      <c r="V44" t="s">
        <v>283</v>
      </c>
    </row>
    <row r="45" spans="1:22" x14ac:dyDescent="0.25">
      <c r="A45" t="s">
        <v>284</v>
      </c>
      <c r="B45" t="s">
        <v>285</v>
      </c>
      <c r="C45" s="1">
        <v>42139</v>
      </c>
      <c r="D45" t="s">
        <v>23</v>
      </c>
      <c r="E45">
        <v>17</v>
      </c>
      <c r="F45">
        <v>487707</v>
      </c>
      <c r="G45">
        <v>9458982</v>
      </c>
      <c r="H45" t="s">
        <v>107</v>
      </c>
      <c r="I45">
        <v>1.5</v>
      </c>
      <c r="J45">
        <f>IF(ISNUMBER(VALUE(SUBSTITUTE(Tabla1[[#This Row],[CANTIDAD]]," lts", ""))),VALUE(SUBSTITUTE(Tabla1[[#This Row],[CANTIDAD]]," lts","")),0)</f>
        <v>1.5</v>
      </c>
      <c r="K45" t="s">
        <v>45</v>
      </c>
      <c r="L45">
        <v>60</v>
      </c>
      <c r="M45" t="s">
        <v>46</v>
      </c>
      <c r="N45" t="s">
        <v>27</v>
      </c>
      <c r="O45">
        <v>-81.110875657760971</v>
      </c>
      <c r="P45">
        <v>-4.894630986845379</v>
      </c>
      <c r="Q45" t="s">
        <v>286</v>
      </c>
      <c r="R45" t="s">
        <v>287</v>
      </c>
      <c r="S45">
        <v>339</v>
      </c>
      <c r="T45" t="s">
        <v>288</v>
      </c>
      <c r="U45" t="s">
        <v>289</v>
      </c>
      <c r="V45" t="s">
        <v>290</v>
      </c>
    </row>
    <row r="46" spans="1:22" x14ac:dyDescent="0.25">
      <c r="A46" t="s">
        <v>123</v>
      </c>
      <c r="B46" t="s">
        <v>124</v>
      </c>
      <c r="C46" s="1">
        <v>41459</v>
      </c>
      <c r="D46" t="s">
        <v>23</v>
      </c>
      <c r="E46">
        <v>17</v>
      </c>
      <c r="F46">
        <v>468024</v>
      </c>
      <c r="G46">
        <v>9507828</v>
      </c>
      <c r="H46" t="s">
        <v>107</v>
      </c>
      <c r="I46">
        <v>2.5</v>
      </c>
      <c r="J46">
        <f>IF(ISNUMBER(VALUE(SUBSTITUTE(Tabla1[[#This Row],[CANTIDAD]]," lts", ""))),VALUE(SUBSTITUTE(Tabla1[[#This Row],[CANTIDAD]]," lts","")),0)</f>
        <v>2.5</v>
      </c>
      <c r="K46" t="s">
        <v>25</v>
      </c>
      <c r="L46">
        <v>2000000</v>
      </c>
      <c r="M46" t="s">
        <v>35</v>
      </c>
      <c r="N46" t="s">
        <v>27</v>
      </c>
      <c r="O46">
        <v>-81.288223157016674</v>
      </c>
      <c r="P46">
        <v>-4.4526880782347309</v>
      </c>
      <c r="Q46" t="s">
        <v>291</v>
      </c>
      <c r="R46" t="s">
        <v>292</v>
      </c>
      <c r="S46">
        <v>529</v>
      </c>
      <c r="T46" t="s">
        <v>293</v>
      </c>
      <c r="U46" t="s">
        <v>294</v>
      </c>
      <c r="V46" t="s">
        <v>295</v>
      </c>
    </row>
    <row r="47" spans="1:22" x14ac:dyDescent="0.25">
      <c r="A47" t="s">
        <v>386</v>
      </c>
      <c r="B47" t="s">
        <v>395</v>
      </c>
      <c r="C47" s="1"/>
      <c r="D47" t="s">
        <v>349</v>
      </c>
      <c r="H47" t="s">
        <v>393</v>
      </c>
      <c r="I47" t="s">
        <v>340</v>
      </c>
      <c r="J47">
        <f>IF(ISNUMBER(VALUE(SUBSTITUTE(Tabla1[[#This Row],[CANTIDAD]]," lts", ""))),VALUE(SUBSTITUTE(Tabla1[[#This Row],[CANTIDAD]]," lts","")),0)</f>
        <v>0</v>
      </c>
      <c r="K47" t="s">
        <v>394</v>
      </c>
      <c r="L47" t="s">
        <v>340</v>
      </c>
      <c r="N47" t="s">
        <v>348</v>
      </c>
      <c r="O47" t="s">
        <v>308</v>
      </c>
      <c r="P47" t="s">
        <v>314</v>
      </c>
      <c r="Q47" t="s">
        <v>320</v>
      </c>
      <c r="R47" t="s">
        <v>299</v>
      </c>
      <c r="S47" t="s">
        <v>364</v>
      </c>
      <c r="U47" t="s">
        <v>302</v>
      </c>
      <c r="V47" t="s">
        <v>334</v>
      </c>
    </row>
    <row r="48" spans="1:22" x14ac:dyDescent="0.25">
      <c r="A48" t="s">
        <v>386</v>
      </c>
      <c r="B48" t="s">
        <v>396</v>
      </c>
      <c r="C48" s="1"/>
      <c r="D48" t="s">
        <v>349</v>
      </c>
      <c r="H48" t="s">
        <v>393</v>
      </c>
      <c r="I48" t="s">
        <v>356</v>
      </c>
      <c r="J48">
        <f>IF(ISNUMBER(VALUE(SUBSTITUTE(Tabla1[[#This Row],[CANTIDAD]]," lts", ""))),VALUE(SUBSTITUTE(Tabla1[[#This Row],[CANTIDAD]]," lts","")),0)</f>
        <v>238.5</v>
      </c>
      <c r="K48" t="s">
        <v>394</v>
      </c>
      <c r="L48" t="s">
        <v>340</v>
      </c>
      <c r="N48" t="s">
        <v>348</v>
      </c>
      <c r="O48" t="s">
        <v>308</v>
      </c>
      <c r="P48" t="s">
        <v>314</v>
      </c>
      <c r="Q48" t="s">
        <v>321</v>
      </c>
      <c r="R48" t="s">
        <v>299</v>
      </c>
      <c r="S48" t="s">
        <v>365</v>
      </c>
      <c r="U48" t="s">
        <v>302</v>
      </c>
      <c r="V48" t="s">
        <v>334</v>
      </c>
    </row>
    <row r="49" spans="1:22" x14ac:dyDescent="0.25">
      <c r="A49" t="s">
        <v>386</v>
      </c>
      <c r="B49" t="s">
        <v>397</v>
      </c>
      <c r="C49" s="1"/>
      <c r="D49" t="s">
        <v>23</v>
      </c>
      <c r="H49" t="s">
        <v>393</v>
      </c>
      <c r="I49" t="s">
        <v>357</v>
      </c>
      <c r="J49">
        <f>IF(ISNUMBER(VALUE(SUBSTITUTE(Tabla1[[#This Row],[CANTIDAD]]," lts", ""))),VALUE(SUBSTITUTE(Tabla1[[#This Row],[CANTIDAD]]," lts","")),0)</f>
        <v>1431</v>
      </c>
      <c r="K49" t="s">
        <v>394</v>
      </c>
      <c r="L49" t="s">
        <v>340</v>
      </c>
      <c r="N49" t="s">
        <v>348</v>
      </c>
      <c r="O49" t="s">
        <v>308</v>
      </c>
      <c r="P49" t="s">
        <v>314</v>
      </c>
      <c r="Q49" t="s">
        <v>322</v>
      </c>
      <c r="R49" t="s">
        <v>299</v>
      </c>
      <c r="S49" t="s">
        <v>366</v>
      </c>
      <c r="U49" t="s">
        <v>302</v>
      </c>
      <c r="V49" t="s">
        <v>334</v>
      </c>
    </row>
    <row r="50" spans="1:22" x14ac:dyDescent="0.25">
      <c r="A50" t="s">
        <v>387</v>
      </c>
      <c r="B50" t="s">
        <v>398</v>
      </c>
      <c r="C50" s="1"/>
      <c r="D50" t="s">
        <v>349</v>
      </c>
      <c r="H50" t="s">
        <v>393</v>
      </c>
      <c r="I50" t="s">
        <v>340</v>
      </c>
      <c r="J50">
        <f>IF(ISNUMBER(VALUE(SUBSTITUTE(Tabla1[[#This Row],[CANTIDAD]]," lts", ""))),VALUE(SUBSTITUTE(Tabla1[[#This Row],[CANTIDAD]]," lts","")),0)</f>
        <v>0</v>
      </c>
      <c r="K50" t="s">
        <v>394</v>
      </c>
      <c r="L50" t="s">
        <v>340</v>
      </c>
      <c r="N50" t="s">
        <v>348</v>
      </c>
      <c r="O50" t="s">
        <v>309</v>
      </c>
      <c r="P50" t="s">
        <v>315</v>
      </c>
      <c r="Q50" t="s">
        <v>323</v>
      </c>
      <c r="R50" t="s">
        <v>296</v>
      </c>
      <c r="S50" t="s">
        <v>367</v>
      </c>
      <c r="U50" t="s">
        <v>303</v>
      </c>
      <c r="V50" t="s">
        <v>335</v>
      </c>
    </row>
    <row r="51" spans="1:22" x14ac:dyDescent="0.25">
      <c r="A51" t="s">
        <v>388</v>
      </c>
      <c r="B51" t="s">
        <v>399</v>
      </c>
      <c r="C51" s="1"/>
      <c r="D51" t="s">
        <v>350</v>
      </c>
      <c r="H51" t="s">
        <v>393</v>
      </c>
      <c r="I51" t="s">
        <v>358</v>
      </c>
      <c r="J51">
        <f>IF(ISNUMBER(VALUE(SUBSTITUTE(Tabla1[[#This Row],[CANTIDAD]]," lts", ""))),VALUE(SUBSTITUTE(Tabla1[[#This Row],[CANTIDAD]]," lts","")),0)</f>
        <v>1113</v>
      </c>
      <c r="K51" t="s">
        <v>394</v>
      </c>
      <c r="L51" t="s">
        <v>341</v>
      </c>
      <c r="N51" t="s">
        <v>348</v>
      </c>
      <c r="O51" t="s">
        <v>310</v>
      </c>
      <c r="P51" t="s">
        <v>316</v>
      </c>
      <c r="Q51" t="s">
        <v>324</v>
      </c>
      <c r="R51" t="s">
        <v>300</v>
      </c>
      <c r="S51" t="s">
        <v>368</v>
      </c>
      <c r="U51" t="s">
        <v>304</v>
      </c>
      <c r="V51" t="s">
        <v>336</v>
      </c>
    </row>
    <row r="52" spans="1:22" x14ac:dyDescent="0.25">
      <c r="A52" t="s">
        <v>389</v>
      </c>
      <c r="B52" t="s">
        <v>400</v>
      </c>
      <c r="C52" s="1"/>
      <c r="D52" t="s">
        <v>349</v>
      </c>
      <c r="H52" t="s">
        <v>393</v>
      </c>
      <c r="I52" t="s">
        <v>340</v>
      </c>
      <c r="J52">
        <f>IF(ISNUMBER(VALUE(SUBSTITUTE(Tabla1[[#This Row],[CANTIDAD]]," lts", ""))),VALUE(SUBSTITUTE(Tabla1[[#This Row],[CANTIDAD]]," lts","")),0)</f>
        <v>0</v>
      </c>
      <c r="K52" t="s">
        <v>394</v>
      </c>
      <c r="L52" t="s">
        <v>340</v>
      </c>
      <c r="N52" t="s">
        <v>348</v>
      </c>
      <c r="O52" t="s">
        <v>308</v>
      </c>
      <c r="P52" t="s">
        <v>314</v>
      </c>
      <c r="Q52" t="s">
        <v>125</v>
      </c>
      <c r="R52" t="s">
        <v>299</v>
      </c>
      <c r="S52" t="s">
        <v>369</v>
      </c>
      <c r="U52" t="s">
        <v>302</v>
      </c>
      <c r="V52" t="s">
        <v>334</v>
      </c>
    </row>
    <row r="53" spans="1:22" x14ac:dyDescent="0.25">
      <c r="A53" t="s">
        <v>389</v>
      </c>
      <c r="B53" t="s">
        <v>401</v>
      </c>
      <c r="C53" s="1"/>
      <c r="D53" t="s">
        <v>349</v>
      </c>
      <c r="H53" t="s">
        <v>393</v>
      </c>
      <c r="I53" t="s">
        <v>359</v>
      </c>
      <c r="J53">
        <f>IF(ISNUMBER(VALUE(SUBSTITUTE(Tabla1[[#This Row],[CANTIDAD]]," lts", ""))),VALUE(SUBSTITUTE(Tabla1[[#This Row],[CANTIDAD]]," lts","")),0)</f>
        <v>397.5</v>
      </c>
      <c r="K53" t="s">
        <v>394</v>
      </c>
      <c r="L53" t="s">
        <v>342</v>
      </c>
      <c r="N53" t="s">
        <v>348</v>
      </c>
      <c r="O53" t="s">
        <v>308</v>
      </c>
      <c r="P53" t="s">
        <v>314</v>
      </c>
      <c r="Q53" t="s">
        <v>291</v>
      </c>
      <c r="R53" t="s">
        <v>299</v>
      </c>
      <c r="S53" t="s">
        <v>370</v>
      </c>
      <c r="U53" t="s">
        <v>302</v>
      </c>
      <c r="V53" t="s">
        <v>334</v>
      </c>
    </row>
    <row r="54" spans="1:22" x14ac:dyDescent="0.25">
      <c r="A54" t="s">
        <v>390</v>
      </c>
      <c r="B54" t="s">
        <v>402</v>
      </c>
      <c r="C54" s="1"/>
      <c r="D54" t="s">
        <v>351</v>
      </c>
      <c r="H54" t="s">
        <v>393</v>
      </c>
      <c r="I54" t="s">
        <v>340</v>
      </c>
      <c r="J54">
        <f>IF(ISNUMBER(VALUE(SUBSTITUTE(Tabla1[[#This Row],[CANTIDAD]]," lts", ""))),VALUE(SUBSTITUTE(Tabla1[[#This Row],[CANTIDAD]]," lts","")),0)</f>
        <v>0</v>
      </c>
      <c r="K54" t="s">
        <v>394</v>
      </c>
      <c r="L54" t="s">
        <v>340</v>
      </c>
      <c r="N54" t="s">
        <v>348</v>
      </c>
      <c r="O54" t="s">
        <v>311</v>
      </c>
      <c r="P54" t="s">
        <v>317</v>
      </c>
      <c r="Q54" t="s">
        <v>108</v>
      </c>
      <c r="R54" t="s">
        <v>297</v>
      </c>
      <c r="S54" t="s">
        <v>371</v>
      </c>
      <c r="U54" t="s">
        <v>305</v>
      </c>
      <c r="V54" t="s">
        <v>337</v>
      </c>
    </row>
    <row r="55" spans="1:22" x14ac:dyDescent="0.25">
      <c r="A55" t="s">
        <v>389</v>
      </c>
      <c r="B55" t="s">
        <v>403</v>
      </c>
      <c r="C55" s="1"/>
      <c r="D55" t="s">
        <v>23</v>
      </c>
      <c r="H55" t="s">
        <v>393</v>
      </c>
      <c r="I55" t="s">
        <v>357</v>
      </c>
      <c r="J55">
        <f>IF(ISNUMBER(VALUE(SUBSTITUTE(Tabla1[[#This Row],[CANTIDAD]]," lts", ""))),VALUE(SUBSTITUTE(Tabla1[[#This Row],[CANTIDAD]]," lts","")),0)</f>
        <v>1431</v>
      </c>
      <c r="K55" t="s">
        <v>394</v>
      </c>
      <c r="L55" t="s">
        <v>343</v>
      </c>
      <c r="N55" t="s">
        <v>348</v>
      </c>
      <c r="O55" t="s">
        <v>308</v>
      </c>
      <c r="P55" t="s">
        <v>314</v>
      </c>
      <c r="Q55" t="s">
        <v>130</v>
      </c>
      <c r="R55" t="s">
        <v>299</v>
      </c>
      <c r="S55" t="s">
        <v>372</v>
      </c>
      <c r="U55" t="s">
        <v>302</v>
      </c>
      <c r="V55" t="s">
        <v>334</v>
      </c>
    </row>
    <row r="56" spans="1:22" x14ac:dyDescent="0.25">
      <c r="A56" t="s">
        <v>389</v>
      </c>
      <c r="B56" t="s">
        <v>404</v>
      </c>
      <c r="C56" s="1"/>
      <c r="D56" t="s">
        <v>349</v>
      </c>
      <c r="H56" t="s">
        <v>393</v>
      </c>
      <c r="I56" t="s">
        <v>340</v>
      </c>
      <c r="J56">
        <f>IF(ISNUMBER(VALUE(SUBSTITUTE(Tabla1[[#This Row],[CANTIDAD]]," lts", ""))),VALUE(SUBSTITUTE(Tabla1[[#This Row],[CANTIDAD]]," lts","")),0)</f>
        <v>0</v>
      </c>
      <c r="K56" t="s">
        <v>394</v>
      </c>
      <c r="L56" t="s">
        <v>340</v>
      </c>
      <c r="N56" t="s">
        <v>348</v>
      </c>
      <c r="O56" t="s">
        <v>308</v>
      </c>
      <c r="P56" t="s">
        <v>314</v>
      </c>
      <c r="Q56" t="s">
        <v>135</v>
      </c>
      <c r="R56" t="s">
        <v>299</v>
      </c>
      <c r="S56" t="s">
        <v>373</v>
      </c>
      <c r="U56" t="s">
        <v>302</v>
      </c>
      <c r="V56" t="s">
        <v>334</v>
      </c>
    </row>
    <row r="57" spans="1:22" x14ac:dyDescent="0.25">
      <c r="A57" t="s">
        <v>66</v>
      </c>
      <c r="B57" t="s">
        <v>405</v>
      </c>
      <c r="C57" s="1"/>
      <c r="D57" t="s">
        <v>352</v>
      </c>
      <c r="H57" t="s">
        <v>340</v>
      </c>
      <c r="I57" t="s">
        <v>340</v>
      </c>
      <c r="J57">
        <f>IF(ISNUMBER(VALUE(SUBSTITUTE(Tabla1[[#This Row],[CANTIDAD]]," lts", ""))),VALUE(SUBSTITUTE(Tabla1[[#This Row],[CANTIDAD]]," lts","")),0)</f>
        <v>0</v>
      </c>
      <c r="K57" t="s">
        <v>394</v>
      </c>
      <c r="L57" t="s">
        <v>341</v>
      </c>
      <c r="N57" t="s">
        <v>348</v>
      </c>
      <c r="O57" t="s">
        <v>312</v>
      </c>
      <c r="P57" t="s">
        <v>318</v>
      </c>
      <c r="Q57" t="s">
        <v>325</v>
      </c>
      <c r="R57" t="s">
        <v>301</v>
      </c>
      <c r="S57" t="s">
        <v>374</v>
      </c>
      <c r="U57" t="s">
        <v>306</v>
      </c>
      <c r="V57" t="s">
        <v>338</v>
      </c>
    </row>
    <row r="58" spans="1:22" x14ac:dyDescent="0.25">
      <c r="A58" t="s">
        <v>66</v>
      </c>
      <c r="B58" t="s">
        <v>406</v>
      </c>
      <c r="C58" s="1"/>
      <c r="D58" t="s">
        <v>353</v>
      </c>
      <c r="H58" t="s">
        <v>340</v>
      </c>
      <c r="I58" t="s">
        <v>340</v>
      </c>
      <c r="J58">
        <f>IF(ISNUMBER(VALUE(SUBSTITUTE(Tabla1[[#This Row],[CANTIDAD]]," lts", ""))),VALUE(SUBSTITUTE(Tabla1[[#This Row],[CANTIDAD]]," lts","")),0)</f>
        <v>0</v>
      </c>
      <c r="K58" t="s">
        <v>394</v>
      </c>
      <c r="L58" t="s">
        <v>340</v>
      </c>
      <c r="N58" t="s">
        <v>348</v>
      </c>
      <c r="O58" t="s">
        <v>313</v>
      </c>
      <c r="P58" t="s">
        <v>319</v>
      </c>
      <c r="Q58" t="s">
        <v>326</v>
      </c>
      <c r="R58" t="s">
        <v>298</v>
      </c>
      <c r="S58" t="s">
        <v>375</v>
      </c>
      <c r="U58" t="s">
        <v>307</v>
      </c>
      <c r="V58" t="s">
        <v>339</v>
      </c>
    </row>
    <row r="59" spans="1:22" x14ac:dyDescent="0.25">
      <c r="A59" t="s">
        <v>66</v>
      </c>
      <c r="B59" t="s">
        <v>407</v>
      </c>
      <c r="C59" s="1"/>
      <c r="D59" t="s">
        <v>354</v>
      </c>
      <c r="H59" t="s">
        <v>340</v>
      </c>
      <c r="I59" t="s">
        <v>340</v>
      </c>
      <c r="J59">
        <f>IF(ISNUMBER(VALUE(SUBSTITUTE(Tabla1[[#This Row],[CANTIDAD]]," lts", ""))),VALUE(SUBSTITUTE(Tabla1[[#This Row],[CANTIDAD]]," lts","")),0)</f>
        <v>0</v>
      </c>
      <c r="K59" t="s">
        <v>394</v>
      </c>
      <c r="L59" t="s">
        <v>340</v>
      </c>
      <c r="N59" t="s">
        <v>348</v>
      </c>
      <c r="O59" t="s">
        <v>313</v>
      </c>
      <c r="P59" t="s">
        <v>319</v>
      </c>
      <c r="Q59" t="s">
        <v>327</v>
      </c>
      <c r="R59" t="s">
        <v>298</v>
      </c>
      <c r="S59" t="s">
        <v>376</v>
      </c>
      <c r="U59" t="s">
        <v>307</v>
      </c>
      <c r="V59" t="s">
        <v>339</v>
      </c>
    </row>
    <row r="60" spans="1:22" x14ac:dyDescent="0.25">
      <c r="A60" t="s">
        <v>389</v>
      </c>
      <c r="B60" t="s">
        <v>408</v>
      </c>
      <c r="C60" s="1"/>
      <c r="D60" t="s">
        <v>349</v>
      </c>
      <c r="H60" t="s">
        <v>393</v>
      </c>
      <c r="I60" t="s">
        <v>340</v>
      </c>
      <c r="J60">
        <f>IF(ISNUMBER(VALUE(SUBSTITUTE(Tabla1[[#This Row],[CANTIDAD]]," lts", ""))),VALUE(SUBSTITUTE(Tabla1[[#This Row],[CANTIDAD]]," lts","")),0)</f>
        <v>0</v>
      </c>
      <c r="K60" t="s">
        <v>394</v>
      </c>
      <c r="L60" t="s">
        <v>340</v>
      </c>
      <c r="N60" t="s">
        <v>348</v>
      </c>
      <c r="O60" t="s">
        <v>308</v>
      </c>
      <c r="P60" t="s">
        <v>314</v>
      </c>
      <c r="Q60" t="s">
        <v>147</v>
      </c>
      <c r="R60" t="s">
        <v>299</v>
      </c>
      <c r="S60" t="s">
        <v>377</v>
      </c>
      <c r="U60" t="s">
        <v>302</v>
      </c>
      <c r="V60" t="s">
        <v>334</v>
      </c>
    </row>
    <row r="61" spans="1:22" x14ac:dyDescent="0.25">
      <c r="A61" t="s">
        <v>389</v>
      </c>
      <c r="B61" t="s">
        <v>409</v>
      </c>
      <c r="C61" s="1"/>
      <c r="D61" t="s">
        <v>349</v>
      </c>
      <c r="H61" t="s">
        <v>393</v>
      </c>
      <c r="I61" t="s">
        <v>340</v>
      </c>
      <c r="J61">
        <f>IF(ISNUMBER(VALUE(SUBSTITUTE(Tabla1[[#This Row],[CANTIDAD]]," lts", ""))),VALUE(SUBSTITUTE(Tabla1[[#This Row],[CANTIDAD]]," lts","")),0)</f>
        <v>0</v>
      </c>
      <c r="K61" t="s">
        <v>394</v>
      </c>
      <c r="L61" t="s">
        <v>340</v>
      </c>
      <c r="N61" t="s">
        <v>348</v>
      </c>
      <c r="O61" t="s">
        <v>308</v>
      </c>
      <c r="P61" t="s">
        <v>314</v>
      </c>
      <c r="Q61" t="s">
        <v>328</v>
      </c>
      <c r="R61" t="s">
        <v>299</v>
      </c>
      <c r="S61" t="s">
        <v>378</v>
      </c>
      <c r="U61" t="s">
        <v>302</v>
      </c>
      <c r="V61" t="s">
        <v>334</v>
      </c>
    </row>
    <row r="62" spans="1:22" x14ac:dyDescent="0.25">
      <c r="A62" t="s">
        <v>66</v>
      </c>
      <c r="B62" t="s">
        <v>406</v>
      </c>
      <c r="C62" s="1"/>
      <c r="D62" t="s">
        <v>355</v>
      </c>
      <c r="H62" t="s">
        <v>340</v>
      </c>
      <c r="I62" t="s">
        <v>340</v>
      </c>
      <c r="J62">
        <f>IF(ISNUMBER(VALUE(SUBSTITUTE(Tabla1[[#This Row],[CANTIDAD]]," lts", ""))),VALUE(SUBSTITUTE(Tabla1[[#This Row],[CANTIDAD]]," lts","")),0)</f>
        <v>0</v>
      </c>
      <c r="K62" t="s">
        <v>394</v>
      </c>
      <c r="L62" t="s">
        <v>340</v>
      </c>
      <c r="N62" t="s">
        <v>348</v>
      </c>
      <c r="O62" t="s">
        <v>313</v>
      </c>
      <c r="P62" t="s">
        <v>319</v>
      </c>
      <c r="Q62" t="s">
        <v>329</v>
      </c>
      <c r="R62" t="s">
        <v>298</v>
      </c>
      <c r="S62" t="s">
        <v>379</v>
      </c>
      <c r="U62" t="s">
        <v>307</v>
      </c>
      <c r="V62" t="s">
        <v>339</v>
      </c>
    </row>
    <row r="63" spans="1:22" x14ac:dyDescent="0.25">
      <c r="A63" t="s">
        <v>389</v>
      </c>
      <c r="B63" t="s">
        <v>410</v>
      </c>
      <c r="C63" s="1"/>
      <c r="D63" t="s">
        <v>349</v>
      </c>
      <c r="H63" t="s">
        <v>393</v>
      </c>
      <c r="I63" t="s">
        <v>340</v>
      </c>
      <c r="J63">
        <f>IF(ISNUMBER(VALUE(SUBSTITUTE(Tabla1[[#This Row],[CANTIDAD]]," lts", ""))),VALUE(SUBSTITUTE(Tabla1[[#This Row],[CANTIDAD]]," lts","")),0)</f>
        <v>0</v>
      </c>
      <c r="K63" t="s">
        <v>394</v>
      </c>
      <c r="L63" t="s">
        <v>340</v>
      </c>
      <c r="N63" t="s">
        <v>348</v>
      </c>
      <c r="O63" t="s">
        <v>308</v>
      </c>
      <c r="P63" t="s">
        <v>314</v>
      </c>
      <c r="Q63" t="s">
        <v>195</v>
      </c>
      <c r="R63" t="s">
        <v>299</v>
      </c>
      <c r="S63" t="s">
        <v>380</v>
      </c>
      <c r="U63" t="s">
        <v>302</v>
      </c>
      <c r="V63" t="s">
        <v>334</v>
      </c>
    </row>
    <row r="64" spans="1:22" x14ac:dyDescent="0.25">
      <c r="A64" t="s">
        <v>389</v>
      </c>
      <c r="B64" t="s">
        <v>411</v>
      </c>
      <c r="C64" s="1"/>
      <c r="D64" t="s">
        <v>23</v>
      </c>
      <c r="H64" t="s">
        <v>393</v>
      </c>
      <c r="I64" t="s">
        <v>360</v>
      </c>
      <c r="J64">
        <f>IF(ISNUMBER(VALUE(SUBSTITUTE(Tabla1[[#This Row],[CANTIDAD]]," lts", ""))),VALUE(SUBSTITUTE(Tabla1[[#This Row],[CANTIDAD]]," lts","")),0)</f>
        <v>1003.29</v>
      </c>
      <c r="K64" t="s">
        <v>394</v>
      </c>
      <c r="L64" t="s">
        <v>344</v>
      </c>
      <c r="N64" t="s">
        <v>348</v>
      </c>
      <c r="O64" t="s">
        <v>308</v>
      </c>
      <c r="P64" t="s">
        <v>314</v>
      </c>
      <c r="Q64" t="s">
        <v>330</v>
      </c>
      <c r="R64" t="s">
        <v>299</v>
      </c>
      <c r="S64" t="s">
        <v>381</v>
      </c>
      <c r="U64" t="s">
        <v>302</v>
      </c>
      <c r="V64" t="s">
        <v>334</v>
      </c>
    </row>
    <row r="65" spans="1:22" x14ac:dyDescent="0.25">
      <c r="A65" t="s">
        <v>388</v>
      </c>
      <c r="B65" t="s">
        <v>412</v>
      </c>
      <c r="C65" s="1"/>
      <c r="D65" t="s">
        <v>350</v>
      </c>
      <c r="H65" t="s">
        <v>393</v>
      </c>
      <c r="I65" t="s">
        <v>361</v>
      </c>
      <c r="J65">
        <f>IF(ISNUMBER(VALUE(SUBSTITUTE(Tabla1[[#This Row],[CANTIDAD]]," lts", ""))),VALUE(SUBSTITUTE(Tabla1[[#This Row],[CANTIDAD]]," lts","")),0)</f>
        <v>1652964</v>
      </c>
      <c r="K65" t="s">
        <v>394</v>
      </c>
      <c r="L65" t="s">
        <v>345</v>
      </c>
      <c r="N65" t="s">
        <v>348</v>
      </c>
      <c r="O65" t="s">
        <v>310</v>
      </c>
      <c r="P65" t="s">
        <v>316</v>
      </c>
      <c r="Q65" t="s">
        <v>103</v>
      </c>
      <c r="R65" t="s">
        <v>300</v>
      </c>
      <c r="S65" t="s">
        <v>382</v>
      </c>
      <c r="U65" t="s">
        <v>304</v>
      </c>
      <c r="V65" t="s">
        <v>336</v>
      </c>
    </row>
    <row r="66" spans="1:22" x14ac:dyDescent="0.25">
      <c r="A66" t="s">
        <v>391</v>
      </c>
      <c r="B66" t="s">
        <v>413</v>
      </c>
      <c r="C66" s="1"/>
      <c r="D66" t="s">
        <v>349</v>
      </c>
      <c r="H66" t="s">
        <v>393</v>
      </c>
      <c r="I66" t="s">
        <v>340</v>
      </c>
      <c r="J66">
        <f>IF(ISNUMBER(VALUE(SUBSTITUTE(Tabla1[[#This Row],[CANTIDAD]]," lts", ""))),VALUE(SUBSTITUTE(Tabla1[[#This Row],[CANTIDAD]]," lts","")),0)</f>
        <v>0</v>
      </c>
      <c r="K66" t="s">
        <v>394</v>
      </c>
      <c r="L66" t="s">
        <v>340</v>
      </c>
      <c r="N66" t="s">
        <v>348</v>
      </c>
      <c r="O66" t="s">
        <v>308</v>
      </c>
      <c r="P66" t="s">
        <v>314</v>
      </c>
      <c r="Q66" t="s">
        <v>331</v>
      </c>
      <c r="R66" t="s">
        <v>299</v>
      </c>
      <c r="S66" t="s">
        <v>383</v>
      </c>
      <c r="U66" t="s">
        <v>302</v>
      </c>
      <c r="V66" t="s">
        <v>334</v>
      </c>
    </row>
    <row r="67" spans="1:22" x14ac:dyDescent="0.25">
      <c r="A67" t="s">
        <v>392</v>
      </c>
      <c r="B67" t="s">
        <v>414</v>
      </c>
      <c r="C67" s="1"/>
      <c r="D67" t="s">
        <v>23</v>
      </c>
      <c r="H67" t="s">
        <v>393</v>
      </c>
      <c r="I67" t="s">
        <v>362</v>
      </c>
      <c r="J67">
        <f>IF(ISNUMBER(VALUE(SUBSTITUTE(Tabla1[[#This Row],[CANTIDAD]]," lts", ""))),VALUE(SUBSTITUTE(Tabla1[[#This Row],[CANTIDAD]]," lts","")),0)</f>
        <v>0.5</v>
      </c>
      <c r="K67" t="s">
        <v>394</v>
      </c>
      <c r="L67" t="s">
        <v>346</v>
      </c>
      <c r="N67" t="s">
        <v>348</v>
      </c>
      <c r="O67" t="s">
        <v>308</v>
      </c>
      <c r="P67" t="s">
        <v>314</v>
      </c>
      <c r="Q67" t="s">
        <v>332</v>
      </c>
      <c r="R67" t="s">
        <v>299</v>
      </c>
      <c r="S67" t="s">
        <v>384</v>
      </c>
      <c r="U67" t="s">
        <v>302</v>
      </c>
      <c r="V67" t="s">
        <v>334</v>
      </c>
    </row>
    <row r="68" spans="1:22" x14ac:dyDescent="0.25">
      <c r="A68" t="s">
        <v>389</v>
      </c>
      <c r="B68" t="s">
        <v>415</v>
      </c>
      <c r="C68" s="1"/>
      <c r="D68" t="s">
        <v>23</v>
      </c>
      <c r="H68" t="s">
        <v>393</v>
      </c>
      <c r="I68" t="s">
        <v>363</v>
      </c>
      <c r="J68">
        <f>IF(ISNUMBER(VALUE(SUBSTITUTE(Tabla1[[#This Row],[CANTIDAD]]," lts", ""))),VALUE(SUBSTITUTE(Tabla1[[#This Row],[CANTIDAD]]," lts","")),0)</f>
        <v>270.3</v>
      </c>
      <c r="K68" t="s">
        <v>394</v>
      </c>
      <c r="L68" t="s">
        <v>347</v>
      </c>
      <c r="N68" t="s">
        <v>348</v>
      </c>
      <c r="O68" t="s">
        <v>308</v>
      </c>
      <c r="P68" t="s">
        <v>314</v>
      </c>
      <c r="Q68" t="s">
        <v>333</v>
      </c>
      <c r="R68" t="s">
        <v>299</v>
      </c>
      <c r="S68" t="s">
        <v>385</v>
      </c>
      <c r="U68" t="s">
        <v>302</v>
      </c>
      <c r="V68" t="s">
        <v>334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2024-10-10T04:56:31Z</dcterms:created>
  <dcterms:modified xsi:type="dcterms:W3CDTF">2024-11-16T23:40:14Z</dcterms:modified>
</cp:coreProperties>
</file>