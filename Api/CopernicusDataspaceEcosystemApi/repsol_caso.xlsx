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ndreJuarez\Code_OilSpill\Apis\last_dance\"/>
    </mc:Choice>
  </mc:AlternateContent>
  <xr:revisionPtr revIDLastSave="0" documentId="13_ncr:1_{21EBFD79-A7DC-47C2-A631-BFF2E5C85656}" xr6:coauthVersionLast="47" xr6:coauthVersionMax="47" xr10:uidLastSave="{00000000-0000-0000-0000-000000000000}"/>
  <bookViews>
    <workbookView xWindow="-120" yWindow="-120" windowWidth="29040" windowHeight="15840" xr2:uid="{40A5004E-3FD2-475E-B5D7-1AFF7D68DC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3" i="1"/>
</calcChain>
</file>

<file path=xl/sharedStrings.xml><?xml version="1.0" encoding="utf-8"?>
<sst xmlns="http://schemas.openxmlformats.org/spreadsheetml/2006/main" count="239" uniqueCount="71">
  <si>
    <t>Unnamed: 0</t>
  </si>
  <si>
    <t>...1</t>
  </si>
  <si>
    <t>Nro</t>
  </si>
  <si>
    <t>AÑO</t>
  </si>
  <si>
    <t>Fecha</t>
  </si>
  <si>
    <t>Locación</t>
  </si>
  <si>
    <t>Empresa</t>
  </si>
  <si>
    <t>VOLUMEN</t>
  </si>
  <si>
    <t>EXTENSIÓN</t>
  </si>
  <si>
    <t>Tipo de Producto</t>
  </si>
  <si>
    <t>departamento</t>
  </si>
  <si>
    <t>ciudad</t>
  </si>
  <si>
    <t>datetime</t>
  </si>
  <si>
    <t>bbox</t>
  </si>
  <si>
    <t>coordinates</t>
  </si>
  <si>
    <t>LON</t>
  </si>
  <si>
    <t>LAT</t>
  </si>
  <si>
    <t>Terminal N° 2 (Latitud 11° 55.9’S, Longitud 07...</t>
  </si>
  <si>
    <t>REFINERIA LA PAMPILLA S.A.A.</t>
  </si>
  <si>
    <t>1652964.0 lts</t>
  </si>
  <si>
    <t>105.33 km2 (En mar) y 1.19 km2 (En tierra)</t>
  </si>
  <si>
    <t>Petróleo</t>
  </si>
  <si>
    <t>Lima</t>
  </si>
  <si>
    <t>Callao</t>
  </si>
  <si>
    <t>2022-01-15T00:00:00Z/2022-01-28T23:59:59Z</t>
  </si>
  <si>
    <t>[-81.3318335, -4.6396872, -81.2718335, -4.5196...</t>
  </si>
  <si>
    <t>(-4.5796872, -81.2718335)</t>
  </si>
  <si>
    <t>-45.796872</t>
  </si>
  <si>
    <t>-81.2718335</t>
  </si>
  <si>
    <t>-12.0312083231688</t>
  </si>
  <si>
    <t>-77.15529531667510</t>
  </si>
  <si>
    <t>-12.00844899929640</t>
  </si>
  <si>
    <t>-77.14716891388280</t>
  </si>
  <si>
    <t>-11.98925595403950</t>
  </si>
  <si>
    <t>-77.14380819029110</t>
  </si>
  <si>
    <t>-11.97183036442500</t>
  </si>
  <si>
    <t>-77.1416532501653</t>
  </si>
  <si>
    <t>-11.95392923943930</t>
  </si>
  <si>
    <t>-77.14421230268780</t>
  </si>
  <si>
    <t>-11.93493079498020</t>
  </si>
  <si>
    <t>-77.14901626669240</t>
  </si>
  <si>
    <t>-11.92133175179950</t>
  </si>
  <si>
    <t>-77.1531896683066</t>
  </si>
  <si>
    <t>-11.91068314444120</t>
  </si>
  <si>
    <t>-77.15644499129</t>
  </si>
  <si>
    <t>-11.89933183922320</t>
  </si>
  <si>
    <t>-77.15837238119560</t>
  </si>
  <si>
    <t>-11.88950610860430</t>
  </si>
  <si>
    <t>-77.16120452240800</t>
  </si>
  <si>
    <t>-11.88205967119120</t>
  </si>
  <si>
    <t>-77.16341636369670</t>
  </si>
  <si>
    <t>-11.8733951083993</t>
  </si>
  <si>
    <t>-77.167011606222</t>
  </si>
  <si>
    <t>-11.86457026361090</t>
  </si>
  <si>
    <t>-77.1723233320642</t>
  </si>
  <si>
    <t>-11.85616349254190</t>
  </si>
  <si>
    <t>-77.1846436181248</t>
  </si>
  <si>
    <t>-11.85544269748150</t>
  </si>
  <si>
    <t>-77.17672261646240</t>
  </si>
  <si>
    <t>-11.84624779585960</t>
  </si>
  <si>
    <t>-77.19392065407000</t>
  </si>
  <si>
    <t>-11.8355375095071</t>
  </si>
  <si>
    <t>-77.20118070665960</t>
  </si>
  <si>
    <t>-11.88769793942480</t>
  </si>
  <si>
    <t>-77.17199544587790</t>
  </si>
  <si>
    <t>-11.87850416555360</t>
  </si>
  <si>
    <t>-77.17615365043400</t>
  </si>
  <si>
    <t>-11.86952464187180</t>
  </si>
  <si>
    <t>-77.1817963779526</t>
  </si>
  <si>
    <t>-11.88017865783060</t>
  </si>
  <si>
    <t>-77.18470918723710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</si>
</sst>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5B175-246C-4D44-B430-699FD0AD0B6D}">
  <dimension ref="A1:Q23"/>
  <sheetViews>
    <sheetView tabSelected="1" topLeftCell="N1" zoomScale="178" zoomScaleNormal="178" workbookViewId="0">
      <selection activeCell="O9" sqref="O9"/>
    </sheetView>
  </sheetViews>
  <sheetFormatPr baseColWidth="10" defaultRowHeight="15" x14ac:dyDescent="0.25"/>
  <cols>
    <col min="14" max="14" width="56" customWidth="1"/>
    <col min="15" max="15" width="55.85546875" customWidth="1"/>
    <col min="16" max="16" width="26.5703125" customWidth="1"/>
    <col min="17" max="17" width="25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23</v>
      </c>
      <c r="B2">
        <v>19</v>
      </c>
      <c r="C2">
        <v>20</v>
      </c>
      <c r="D2">
        <v>2022</v>
      </c>
      <c r="E2" s="1">
        <v>44576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s="2" t="s">
        <v>27</v>
      </c>
      <c r="Q2" s="2" t="s">
        <v>28</v>
      </c>
    </row>
    <row r="3" spans="1:17" x14ac:dyDescent="0.25">
      <c r="A3">
        <v>24</v>
      </c>
      <c r="B3">
        <v>19</v>
      </c>
      <c r="C3">
        <v>20</v>
      </c>
      <c r="D3">
        <v>2022</v>
      </c>
      <c r="E3" s="1">
        <v>44577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O3" t="str">
        <f>_xlfn.CONCAT("(",P3,",",Q3)</f>
        <v>(-12.0312083231688,-77.15529531667510</v>
      </c>
      <c r="P3" s="2" t="s">
        <v>29</v>
      </c>
      <c r="Q3" s="2" t="s">
        <v>30</v>
      </c>
    </row>
    <row r="4" spans="1:17" x14ac:dyDescent="0.25">
      <c r="A4">
        <v>25</v>
      </c>
      <c r="B4">
        <v>19</v>
      </c>
      <c r="C4">
        <v>20</v>
      </c>
      <c r="D4">
        <v>2022</v>
      </c>
      <c r="E4" s="1">
        <v>44578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O4" t="str">
        <f t="shared" ref="O4:O23" si="0">_xlfn.CONCAT("(",P4,",",Q4)</f>
        <v>(-12.00844899929640,-77.14716891388280</v>
      </c>
      <c r="P4" s="2" t="s">
        <v>31</v>
      </c>
      <c r="Q4" s="2" t="s">
        <v>32</v>
      </c>
    </row>
    <row r="5" spans="1:17" x14ac:dyDescent="0.25">
      <c r="A5">
        <v>26</v>
      </c>
      <c r="B5">
        <v>19</v>
      </c>
      <c r="C5">
        <v>20</v>
      </c>
      <c r="D5">
        <v>2022</v>
      </c>
      <c r="E5" s="1">
        <v>44579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O5" t="str">
        <f t="shared" si="0"/>
        <v>(-11.98925595403950,-77.14380819029110</v>
      </c>
      <c r="P5" s="2" t="s">
        <v>33</v>
      </c>
      <c r="Q5" s="2" t="s">
        <v>34</v>
      </c>
    </row>
    <row r="6" spans="1:17" x14ac:dyDescent="0.25">
      <c r="A6">
        <v>27</v>
      </c>
      <c r="B6">
        <v>19</v>
      </c>
      <c r="C6">
        <v>20</v>
      </c>
      <c r="D6">
        <v>2022</v>
      </c>
      <c r="E6" s="1">
        <v>44580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O6" t="str">
        <f t="shared" si="0"/>
        <v>(-11.97183036442500,-77.1416532501653</v>
      </c>
      <c r="P6" s="2" t="s">
        <v>35</v>
      </c>
      <c r="Q6" s="2" t="s">
        <v>36</v>
      </c>
    </row>
    <row r="7" spans="1:17" x14ac:dyDescent="0.25">
      <c r="A7">
        <v>28</v>
      </c>
      <c r="B7">
        <v>19</v>
      </c>
      <c r="C7">
        <v>20</v>
      </c>
      <c r="D7">
        <v>2022</v>
      </c>
      <c r="E7" s="1">
        <v>44581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  <c r="K7" t="s">
        <v>22</v>
      </c>
      <c r="L7" t="s">
        <v>23</v>
      </c>
      <c r="M7" t="s">
        <v>24</v>
      </c>
      <c r="O7" t="str">
        <f t="shared" si="0"/>
        <v>(-11.95392923943930,-77.14421230268780</v>
      </c>
      <c r="P7" s="2" t="s">
        <v>37</v>
      </c>
      <c r="Q7" s="2" t="s">
        <v>38</v>
      </c>
    </row>
    <row r="8" spans="1:17" x14ac:dyDescent="0.25">
      <c r="A8">
        <v>29</v>
      </c>
      <c r="B8">
        <v>19</v>
      </c>
      <c r="C8">
        <v>20</v>
      </c>
      <c r="D8">
        <v>2022</v>
      </c>
      <c r="E8" s="1">
        <v>44582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">
        <v>22</v>
      </c>
      <c r="L8" t="s">
        <v>23</v>
      </c>
      <c r="M8" t="s">
        <v>24</v>
      </c>
      <c r="O8" t="str">
        <f t="shared" si="0"/>
        <v>(-11.93493079498020,-77.14901626669240</v>
      </c>
      <c r="P8" s="2" t="s">
        <v>39</v>
      </c>
      <c r="Q8" s="2" t="s">
        <v>40</v>
      </c>
    </row>
    <row r="9" spans="1:17" x14ac:dyDescent="0.25">
      <c r="A9">
        <v>30</v>
      </c>
      <c r="B9">
        <v>19</v>
      </c>
      <c r="C9">
        <v>20</v>
      </c>
      <c r="D9">
        <v>2022</v>
      </c>
      <c r="E9" s="1">
        <v>44583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  <c r="K9" t="s">
        <v>22</v>
      </c>
      <c r="L9" t="s">
        <v>23</v>
      </c>
      <c r="M9" t="s">
        <v>24</v>
      </c>
      <c r="O9" t="str">
        <f t="shared" si="0"/>
        <v>(-11.92133175179950,-77.1531896683066</v>
      </c>
      <c r="P9" s="2" t="s">
        <v>41</v>
      </c>
      <c r="Q9" s="2" t="s">
        <v>42</v>
      </c>
    </row>
    <row r="10" spans="1:17" x14ac:dyDescent="0.25">
      <c r="A10">
        <v>31</v>
      </c>
      <c r="B10">
        <v>19</v>
      </c>
      <c r="C10">
        <v>20</v>
      </c>
      <c r="D10">
        <v>2022</v>
      </c>
      <c r="E10" s="1">
        <v>44584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  <c r="M10" t="s">
        <v>24</v>
      </c>
      <c r="O10" t="str">
        <f t="shared" si="0"/>
        <v>(-11.91068314444120,-77.15644499129</v>
      </c>
      <c r="P10" s="2" t="s">
        <v>43</v>
      </c>
      <c r="Q10" s="2" t="s">
        <v>44</v>
      </c>
    </row>
    <row r="11" spans="1:17" x14ac:dyDescent="0.25">
      <c r="A11">
        <v>32</v>
      </c>
      <c r="B11">
        <v>19</v>
      </c>
      <c r="C11">
        <v>20</v>
      </c>
      <c r="D11">
        <v>2022</v>
      </c>
      <c r="E11" s="1">
        <v>44585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  <c r="K11" t="s">
        <v>22</v>
      </c>
      <c r="L11" t="s">
        <v>23</v>
      </c>
      <c r="M11" t="s">
        <v>24</v>
      </c>
      <c r="O11" t="str">
        <f t="shared" si="0"/>
        <v>(-11.89933183922320,-77.15837238119560</v>
      </c>
      <c r="P11" s="2" t="s">
        <v>45</v>
      </c>
      <c r="Q11" s="2" t="s">
        <v>46</v>
      </c>
    </row>
    <row r="12" spans="1:17" x14ac:dyDescent="0.25">
      <c r="A12">
        <v>33</v>
      </c>
      <c r="B12">
        <v>19</v>
      </c>
      <c r="C12">
        <v>20</v>
      </c>
      <c r="D12">
        <v>2022</v>
      </c>
      <c r="E12" s="1">
        <v>44586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  <c r="K12" t="s">
        <v>22</v>
      </c>
      <c r="L12" t="s">
        <v>23</v>
      </c>
      <c r="M12" t="s">
        <v>24</v>
      </c>
      <c r="O12" t="str">
        <f t="shared" si="0"/>
        <v>(-11.88950610860430,-77.16120452240800</v>
      </c>
      <c r="P12" s="2" t="s">
        <v>47</v>
      </c>
      <c r="Q12" s="2" t="s">
        <v>48</v>
      </c>
    </row>
    <row r="13" spans="1:17" x14ac:dyDescent="0.25">
      <c r="A13">
        <v>34</v>
      </c>
      <c r="B13">
        <v>19</v>
      </c>
      <c r="C13">
        <v>20</v>
      </c>
      <c r="D13">
        <v>2022</v>
      </c>
      <c r="E13" s="1">
        <v>44587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  <c r="K13" t="s">
        <v>22</v>
      </c>
      <c r="L13" t="s">
        <v>23</v>
      </c>
      <c r="M13" t="s">
        <v>24</v>
      </c>
      <c r="O13" t="str">
        <f t="shared" si="0"/>
        <v>(-11.88205967119120,-77.16341636369670</v>
      </c>
      <c r="P13" s="2" t="s">
        <v>49</v>
      </c>
      <c r="Q13" s="2" t="s">
        <v>50</v>
      </c>
    </row>
    <row r="14" spans="1:17" x14ac:dyDescent="0.25">
      <c r="A14">
        <v>35</v>
      </c>
      <c r="B14">
        <v>19</v>
      </c>
      <c r="C14">
        <v>20</v>
      </c>
      <c r="D14">
        <v>2022</v>
      </c>
      <c r="E14" s="1">
        <v>44588</v>
      </c>
      <c r="F14" t="s">
        <v>17</v>
      </c>
      <c r="G14" t="s">
        <v>18</v>
      </c>
      <c r="H14" t="s">
        <v>19</v>
      </c>
      <c r="I14" t="s">
        <v>20</v>
      </c>
      <c r="J14" t="s">
        <v>21</v>
      </c>
      <c r="K14" t="s">
        <v>22</v>
      </c>
      <c r="L14" t="s">
        <v>23</v>
      </c>
      <c r="M14" t="s">
        <v>24</v>
      </c>
      <c r="O14" t="str">
        <f t="shared" si="0"/>
        <v>(-11.8733951083993,-77.167011606222</v>
      </c>
      <c r="P14" s="2" t="s">
        <v>51</v>
      </c>
      <c r="Q14" s="2" t="s">
        <v>52</v>
      </c>
    </row>
    <row r="15" spans="1:17" x14ac:dyDescent="0.25">
      <c r="A15">
        <v>36</v>
      </c>
      <c r="B15">
        <v>19</v>
      </c>
      <c r="C15">
        <v>20</v>
      </c>
      <c r="D15">
        <v>2022</v>
      </c>
      <c r="E15" s="1">
        <v>44589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O15" t="str">
        <f t="shared" si="0"/>
        <v>(-11.86457026361090,-77.1723233320642</v>
      </c>
      <c r="P15" s="2" t="s">
        <v>53</v>
      </c>
      <c r="Q15" s="2" t="s">
        <v>54</v>
      </c>
    </row>
    <row r="16" spans="1:17" x14ac:dyDescent="0.25">
      <c r="A16">
        <v>37</v>
      </c>
      <c r="B16">
        <v>19</v>
      </c>
      <c r="C16">
        <v>20</v>
      </c>
      <c r="D16">
        <v>2022</v>
      </c>
      <c r="E16" s="1">
        <v>44590</v>
      </c>
      <c r="F16" t="s">
        <v>17</v>
      </c>
      <c r="G16" t="s">
        <v>18</v>
      </c>
      <c r="H16" t="s">
        <v>19</v>
      </c>
      <c r="I16" t="s">
        <v>20</v>
      </c>
      <c r="J16" t="s">
        <v>21</v>
      </c>
      <c r="K16" t="s">
        <v>22</v>
      </c>
      <c r="L16" t="s">
        <v>23</v>
      </c>
      <c r="M16" t="s">
        <v>24</v>
      </c>
      <c r="O16" t="str">
        <f t="shared" si="0"/>
        <v>(-11.85616349254190,-77.1846436181248</v>
      </c>
      <c r="P16" s="2" t="s">
        <v>55</v>
      </c>
      <c r="Q16" s="2" t="s">
        <v>56</v>
      </c>
    </row>
    <row r="17" spans="1:17" x14ac:dyDescent="0.25">
      <c r="A17">
        <v>38</v>
      </c>
      <c r="B17">
        <v>19</v>
      </c>
      <c r="C17">
        <v>20</v>
      </c>
      <c r="D17">
        <v>2022</v>
      </c>
      <c r="E17" s="1">
        <v>44591</v>
      </c>
      <c r="F17" t="s">
        <v>17</v>
      </c>
      <c r="G17" t="s">
        <v>18</v>
      </c>
      <c r="H17" t="s">
        <v>19</v>
      </c>
      <c r="I17" t="s">
        <v>20</v>
      </c>
      <c r="J17" t="s">
        <v>21</v>
      </c>
      <c r="K17" t="s">
        <v>22</v>
      </c>
      <c r="L17" t="s">
        <v>23</v>
      </c>
      <c r="M17" t="s">
        <v>24</v>
      </c>
      <c r="O17" t="str">
        <f t="shared" si="0"/>
        <v>(-11.85544269748150,-77.17672261646240</v>
      </c>
      <c r="P17" s="2" t="s">
        <v>57</v>
      </c>
      <c r="Q17" s="2" t="s">
        <v>58</v>
      </c>
    </row>
    <row r="18" spans="1:17" x14ac:dyDescent="0.25">
      <c r="A18">
        <v>39</v>
      </c>
      <c r="B18">
        <v>19</v>
      </c>
      <c r="C18">
        <v>20</v>
      </c>
      <c r="D18">
        <v>2022</v>
      </c>
      <c r="E18" s="1">
        <v>44592</v>
      </c>
      <c r="F18" t="s">
        <v>17</v>
      </c>
      <c r="G18" t="s">
        <v>18</v>
      </c>
      <c r="H18" t="s">
        <v>19</v>
      </c>
      <c r="I18" t="s">
        <v>20</v>
      </c>
      <c r="J18" t="s">
        <v>21</v>
      </c>
      <c r="K18" t="s">
        <v>22</v>
      </c>
      <c r="L18" t="s">
        <v>23</v>
      </c>
      <c r="M18" t="s">
        <v>24</v>
      </c>
      <c r="O18" t="str">
        <f t="shared" si="0"/>
        <v>(-11.84624779585960,-77.19392065407000</v>
      </c>
      <c r="P18" s="2" t="s">
        <v>59</v>
      </c>
      <c r="Q18" s="2" t="s">
        <v>60</v>
      </c>
    </row>
    <row r="19" spans="1:17" x14ac:dyDescent="0.25">
      <c r="A19">
        <v>40</v>
      </c>
      <c r="B19">
        <v>19</v>
      </c>
      <c r="C19">
        <v>20</v>
      </c>
      <c r="D19">
        <v>2022</v>
      </c>
      <c r="E19" s="1">
        <v>44593</v>
      </c>
      <c r="F19" t="s">
        <v>17</v>
      </c>
      <c r="G19" t="s">
        <v>18</v>
      </c>
      <c r="H19" t="s">
        <v>19</v>
      </c>
      <c r="I19" t="s">
        <v>20</v>
      </c>
      <c r="J19" t="s">
        <v>21</v>
      </c>
      <c r="K19" t="s">
        <v>22</v>
      </c>
      <c r="L19" t="s">
        <v>23</v>
      </c>
      <c r="M19" t="s">
        <v>24</v>
      </c>
      <c r="O19" t="str">
        <f t="shared" si="0"/>
        <v>(-11.8355375095071,-77.20118070665960</v>
      </c>
      <c r="P19" s="2" t="s">
        <v>61</v>
      </c>
      <c r="Q19" s="2" t="s">
        <v>62</v>
      </c>
    </row>
    <row r="20" spans="1:17" x14ac:dyDescent="0.25">
      <c r="A20">
        <v>41</v>
      </c>
      <c r="B20">
        <v>19</v>
      </c>
      <c r="C20">
        <v>20</v>
      </c>
      <c r="D20">
        <v>2022</v>
      </c>
      <c r="E20" s="1">
        <v>44594</v>
      </c>
      <c r="F20" t="s">
        <v>17</v>
      </c>
      <c r="G20" t="s">
        <v>18</v>
      </c>
      <c r="H20" t="s">
        <v>19</v>
      </c>
      <c r="I20" t="s">
        <v>20</v>
      </c>
      <c r="J20" t="s">
        <v>21</v>
      </c>
      <c r="K20" t="s">
        <v>22</v>
      </c>
      <c r="L20" t="s">
        <v>23</v>
      </c>
      <c r="M20" t="s">
        <v>24</v>
      </c>
      <c r="O20" t="str">
        <f t="shared" si="0"/>
        <v>(-11.88769793942480,-77.17199544587790</v>
      </c>
      <c r="P20" s="2" t="s">
        <v>63</v>
      </c>
      <c r="Q20" s="2" t="s">
        <v>64</v>
      </c>
    </row>
    <row r="21" spans="1:17" x14ac:dyDescent="0.25">
      <c r="A21">
        <v>42</v>
      </c>
      <c r="B21">
        <v>19</v>
      </c>
      <c r="C21">
        <v>20</v>
      </c>
      <c r="D21">
        <v>2022</v>
      </c>
      <c r="E21" s="1">
        <v>44595</v>
      </c>
      <c r="F21" t="s">
        <v>17</v>
      </c>
      <c r="G21" t="s">
        <v>18</v>
      </c>
      <c r="H21" t="s">
        <v>19</v>
      </c>
      <c r="I21" t="s">
        <v>20</v>
      </c>
      <c r="J21" t="s">
        <v>21</v>
      </c>
      <c r="K21" t="s">
        <v>22</v>
      </c>
      <c r="L21" t="s">
        <v>23</v>
      </c>
      <c r="M21" t="s">
        <v>24</v>
      </c>
      <c r="O21" t="str">
        <f t="shared" si="0"/>
        <v>(-11.87850416555360,-77.17615365043400</v>
      </c>
      <c r="P21" s="2" t="s">
        <v>65</v>
      </c>
      <c r="Q21" s="2" t="s">
        <v>66</v>
      </c>
    </row>
    <row r="22" spans="1:17" x14ac:dyDescent="0.25">
      <c r="A22">
        <v>43</v>
      </c>
      <c r="B22">
        <v>19</v>
      </c>
      <c r="C22">
        <v>20</v>
      </c>
      <c r="D22">
        <v>2022</v>
      </c>
      <c r="E22" s="1">
        <v>44596</v>
      </c>
      <c r="F22" t="s">
        <v>17</v>
      </c>
      <c r="G22" t="s">
        <v>18</v>
      </c>
      <c r="H22" t="s">
        <v>19</v>
      </c>
      <c r="I22" t="s">
        <v>20</v>
      </c>
      <c r="J22" t="s">
        <v>21</v>
      </c>
      <c r="K22" t="s">
        <v>22</v>
      </c>
      <c r="L22" t="s">
        <v>23</v>
      </c>
      <c r="M22" t="s">
        <v>24</v>
      </c>
      <c r="O22" t="str">
        <f t="shared" si="0"/>
        <v>(-11.86952464187180,-77.1817963779526</v>
      </c>
      <c r="P22" s="2" t="s">
        <v>67</v>
      </c>
      <c r="Q22" s="2" t="s">
        <v>68</v>
      </c>
    </row>
    <row r="23" spans="1:17" x14ac:dyDescent="0.25">
      <c r="A23">
        <v>44</v>
      </c>
      <c r="B23">
        <v>19</v>
      </c>
      <c r="C23">
        <v>20</v>
      </c>
      <c r="D23">
        <v>2022</v>
      </c>
      <c r="E23" s="1">
        <v>44597</v>
      </c>
      <c r="F23" t="s">
        <v>17</v>
      </c>
      <c r="G23" t="s">
        <v>18</v>
      </c>
      <c r="H23" t="s">
        <v>19</v>
      </c>
      <c r="I23" t="s">
        <v>20</v>
      </c>
      <c r="J23" t="s">
        <v>21</v>
      </c>
      <c r="K23" t="s">
        <v>22</v>
      </c>
      <c r="L23" t="s">
        <v>23</v>
      </c>
      <c r="M23" t="s">
        <v>24</v>
      </c>
      <c r="O23" t="str">
        <f t="shared" si="0"/>
        <v>(-11.88017865783060,-77.18470918723710</v>
      </c>
      <c r="P23" s="2" t="s">
        <v>69</v>
      </c>
      <c r="Q23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Juarez, Henry (CIP)</dc:creator>
  <cp:lastModifiedBy>Juarez, Henry (CIP)</cp:lastModifiedBy>
  <dcterms:created xsi:type="dcterms:W3CDTF">2024-10-11T05:07:46Z</dcterms:created>
  <dcterms:modified xsi:type="dcterms:W3CDTF">2024-10-11T05:26:05Z</dcterms:modified>
</cp:coreProperties>
</file>